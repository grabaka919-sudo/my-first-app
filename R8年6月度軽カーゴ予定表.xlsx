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23" activeTab="26" autoFilterDateGrouping="1"/>
  </bookViews>
  <sheets>
    <sheet name="Claude Log" sheetId="1" state="visible" r:id="rId1"/>
    <sheet name="日付変更シート" sheetId="2" state="visible" r:id="rId2"/>
    <sheet name="6月軽" sheetId="3" state="visible" r:id="rId3"/>
    <sheet name="6月大型" sheetId="4" state="visible" r:id="rId4"/>
    <sheet name="6 1 " sheetId="5" state="visible" r:id="rId5"/>
    <sheet name="6 1  (2)" sheetId="6" state="visible" r:id="rId6"/>
    <sheet name="6　2" sheetId="7" state="visible" r:id="rId7"/>
    <sheet name="6　2 (2)" sheetId="8" state="visible" r:id="rId8"/>
    <sheet name="6  3" sheetId="9" state="visible" r:id="rId9"/>
    <sheet name="6　4 " sheetId="10" state="visible" r:id="rId10"/>
    <sheet name="6　5" sheetId="11" state="visible" r:id="rId11"/>
    <sheet name="6　6" sheetId="12" state="visible" r:id="rId12"/>
    <sheet name="6　7" sheetId="13" state="visible" r:id="rId13"/>
    <sheet name="6　7 (2)" sheetId="14" state="visible" r:id="rId14"/>
    <sheet name="6　8" sheetId="15" state="visible" r:id="rId15"/>
    <sheet name="6　8 (2)" sheetId="16" state="visible" r:id="rId16"/>
    <sheet name="6　9" sheetId="17" state="visible" r:id="rId17"/>
    <sheet name="6　9 (2)" sheetId="18" state="visible" r:id="rId18"/>
    <sheet name="6　10" sheetId="19" state="visible" r:id="rId19"/>
    <sheet name="6　11 " sheetId="20" state="visible" r:id="rId20"/>
    <sheet name="6　11  (2)" sheetId="21" state="visible" r:id="rId21"/>
    <sheet name="6　12" sheetId="22" state="visible" r:id="rId22"/>
    <sheet name="6　12 (2)" sheetId="23" state="visible" r:id="rId23"/>
    <sheet name="6　13" sheetId="24" state="visible" r:id="rId24"/>
    <sheet name="6　13 (2)" sheetId="25" state="visible" r:id="rId25"/>
    <sheet name="6　14" sheetId="26" state="visible" r:id="rId26"/>
    <sheet name="6　14 (2)" sheetId="27" state="visible" r:id="rId27"/>
    <sheet name="6　15" sheetId="28" state="visible" r:id="rId28"/>
    <sheet name="6　15 (2)" sheetId="29" state="visible" r:id="rId29"/>
    <sheet name="6　16" sheetId="30" state="visible" r:id="rId30"/>
    <sheet name="6　16 (2)" sheetId="31" state="visible" r:id="rId31"/>
    <sheet name="6　17" sheetId="32" state="visible" r:id="rId32"/>
    <sheet name="6　18" sheetId="33" state="visible" r:id="rId33"/>
    <sheet name="6　18 (2)" sheetId="34" state="visible" r:id="rId34"/>
    <sheet name="6　19" sheetId="35" state="visible" r:id="rId35"/>
    <sheet name="6　19 (2)" sheetId="36" state="visible" r:id="rId36"/>
    <sheet name="6　20" sheetId="37" state="visible" r:id="rId37"/>
    <sheet name="6　20 (2)" sheetId="38" state="visible" r:id="rId38"/>
    <sheet name="6　21" sheetId="39" state="visible" r:id="rId39"/>
    <sheet name="6　21 (2)" sheetId="40" state="visible" r:id="rId40"/>
    <sheet name="6　22" sheetId="41" state="visible" r:id="rId41"/>
    <sheet name="6　22 (2)" sheetId="42" state="visible" r:id="rId42"/>
    <sheet name="6　23" sheetId="43" state="visible" r:id="rId43"/>
    <sheet name="6　23 (2)" sheetId="44" state="visible" r:id="rId44"/>
    <sheet name="6　24" sheetId="45" state="visible" r:id="rId45"/>
    <sheet name="6　25" sheetId="46" state="visible" r:id="rId46"/>
    <sheet name="6　25 (2)" sheetId="47" state="visible" r:id="rId47"/>
    <sheet name="6　26" sheetId="48" state="visible" r:id="rId48"/>
    <sheet name="6　26 (2)" sheetId="49" state="visible" r:id="rId49"/>
    <sheet name="6　27" sheetId="50" state="visible" r:id="rId50"/>
    <sheet name="6　27 (2)" sheetId="51" state="visible" r:id="rId51"/>
    <sheet name="6　28" sheetId="52" state="visible" r:id="rId52"/>
    <sheet name="6　28 (2)" sheetId="53" state="visible" r:id="rId53"/>
    <sheet name="6　29" sheetId="54" state="visible" r:id="rId54"/>
    <sheet name="6　29 (2)" sheetId="55" state="visible" r:id="rId55"/>
    <sheet name="6　30" sheetId="56" state="visible" r:id="rId56"/>
    <sheet name="6　30 (2)" sheetId="57" state="visible" r:id="rId57"/>
    <sheet name="運賃マスター" sheetId="58" state="visible" r:id="rId58"/>
    <sheet name="原本" sheetId="59" state="visible" r:id="rId59"/>
    <sheet name="案件・ドライバー一覧" sheetId="60" state="visible" r:id="rId60"/>
  </sheets>
  <definedNames>
    <definedName name="Z_1B580495_28BB_4C35_A615_F80E8FBAA752_.wvu.PrintArea" localSheetId="9" hidden="1">'5　4 '!$A$2:$K$16</definedName>
    <definedName name="Z_51CE31E2_BBFF_4379_930C_34789C5F2373_.wvu.PrintArea" localSheetId="9" hidden="1">'5　4 '!$A$2:$K$16</definedName>
    <definedName name="Z_9070BDAA_BB18_4582_81E2_1236C2FD2D00_.wvu.PrintArea" localSheetId="9" hidden="1">'5　4 '!$A$2:$K$16</definedName>
    <definedName name="Z_E8AC4D23_DA01_4CC2_82A2_77EC50E494C0_.wvu.PrintArea" localSheetId="9" hidden="1">'5　4 '!$A$2:$K$16</definedName>
    <definedName name="Z_EB70D7AC_4D20_4948_BC31_3D6D791795C2_.wvu.PrintArea" localSheetId="9" hidden="1">'5　4 '!$A$2:$K$16</definedName>
    <definedName name="_xlnm.Print_Area" localSheetId="9">'6　4 '!$A$2:$K$16</definedName>
    <definedName name="_xlnm._FilterDatabase" localSheetId="13" hidden="1">'6　7 (2)'!$F$2:$F$98</definedName>
    <definedName name="Z_027CCA6D_5C05_431D_859C_BA92270ECF70_.wvu.FilterData" localSheetId="14" hidden="1">'5　8'!$H$2:$H$12</definedName>
    <definedName name="Z_1145FFFE_0B15_412A_9119_4265197A73DE_.wvu.FilterData" localSheetId="14" hidden="1">'5　8'!$H$2:$H$12</definedName>
    <definedName name="Z_1B580495_28BB_4C35_A615_F80E8FBAA752_.wvu.FilterData" localSheetId="14" hidden="1">'5　8'!$H$2:$H$12</definedName>
    <definedName name="Z_51CE31E2_BBFF_4379_930C_34789C5F2373_.wvu.FilterData" localSheetId="14" hidden="1">'5　8'!$H$2:$H$12</definedName>
    <definedName name="Z_9070BDAA_BB18_4582_81E2_1236C2FD2D00_.wvu.FilterData" localSheetId="14" hidden="1">'5　8'!$H$2:$H$12</definedName>
    <definedName name="Z_E8AC4D23_DA01_4CC2_82A2_77EC50E494C0_.wvu.FilterData" localSheetId="14" hidden="1">'5　8'!$H$2:$H$12</definedName>
    <definedName name="Z_EB70D7AC_4D20_4948_BC31_3D6D791795C2_.wvu.FilterData" localSheetId="14" hidden="1">'5　8'!$H$2:$H$12</definedName>
    <definedName name="Z_F1927F92_D5F9_4321_9A8D_EA3CFFA9B94C_.wvu.FilterData" localSheetId="14" hidden="1">'5　8'!$H$2:$H$12</definedName>
    <definedName name="_xlnm._FilterDatabase" localSheetId="14" hidden="1">'6　8'!$H$1:$H$27</definedName>
    <definedName name="Z_027CCA6D_5C05_431D_859C_BA92270ECF70_.wvu.FilterData" localSheetId="15" hidden="1">'5　8 (2)'!$H$2:$H$28</definedName>
    <definedName name="Z_1145FFFE_0B15_412A_9119_4265197A73DE_.wvu.FilterData" localSheetId="15" hidden="1">'5　8 (2)'!$H$2:$H$28</definedName>
    <definedName name="Z_1B580495_28BB_4C35_A615_F80E8FBAA752_.wvu.FilterData" localSheetId="15" hidden="1">'5　8 (2)'!$H$2:$H$28</definedName>
    <definedName name="Z_51CE31E2_BBFF_4379_930C_34789C5F2373_.wvu.FilterData" localSheetId="15" hidden="1">'5　8 (2)'!$H$2:$H$25</definedName>
    <definedName name="Z_9070BDAA_BB18_4582_81E2_1236C2FD2D00_.wvu.FilterData" localSheetId="15" hidden="1">'5　8 (2)'!$H$2:$H$28</definedName>
    <definedName name="Z_E8AC4D23_DA01_4CC2_82A2_77EC50E494C0_.wvu.FilterData" localSheetId="15" hidden="1">'5　8 (2)'!$H$2:$H$28</definedName>
    <definedName name="Z_EB70D7AC_4D20_4948_BC31_3D6D791795C2_.wvu.FilterData" localSheetId="15" hidden="1">'5　8 (2)'!$H$2:$H$28</definedName>
    <definedName name="Z_F1927F92_D5F9_4321_9A8D_EA3CFFA9B94C_.wvu.FilterData" localSheetId="15" hidden="1">'5　8 (2)'!$H$2:$H$28</definedName>
    <definedName name="_xlnm._FilterDatabase" localSheetId="15" hidden="1">'6　8 (2)'!$H$2:$H$93</definedName>
    <definedName name="Z_027CCA6D_5C05_431D_859C_BA92270ECF70_.wvu.FilterData" localSheetId="16" hidden="1">'5　9'!$H$2:$H$16</definedName>
    <definedName name="Z_1145FFFE_0B15_412A_9119_4265197A73DE_.wvu.FilterData" localSheetId="16" hidden="1">'5　9'!$H$2:$H$16</definedName>
    <definedName name="Z_1B580495_28BB_4C35_A615_F80E8FBAA752_.wvu.FilterData" localSheetId="16" hidden="1">'5　9'!$H$2:$H$16</definedName>
    <definedName name="Z_51CE31E2_BBFF_4379_930C_34789C5F2373_.wvu.FilterData" localSheetId="16" hidden="1">'5　9'!$H$2:$H$16</definedName>
    <definedName name="Z_74E98252_209A_4D50_A0C2_E7237876C7DE_.wvu.FilterData" localSheetId="16" hidden="1">'5　9'!$H$2:$H$16</definedName>
    <definedName name="Z_9070BDAA_BB18_4582_81E2_1236C2FD2D00_.wvu.FilterData" localSheetId="16" hidden="1">'5　9'!$H$2:$H$16</definedName>
    <definedName name="Z_E8AC4D23_DA01_4CC2_82A2_77EC50E494C0_.wvu.FilterData" localSheetId="16" hidden="1">'5　9'!$H$2:$H$16</definedName>
    <definedName name="Z_EB70D7AC_4D20_4948_BC31_3D6D791795C2_.wvu.FilterData" localSheetId="16" hidden="1">'5　9'!$H$2:$H$16</definedName>
    <definedName name="Z_F1927F92_D5F9_4321_9A8D_EA3CFFA9B94C_.wvu.FilterData" localSheetId="16" hidden="1">'5　9'!$H$2:$H$16</definedName>
    <definedName name="Z_027CCA6D_5C05_431D_859C_BA92270ECF70_.wvu.FilterData" localSheetId="17" hidden="1">'5　9 (2)'!$H$2:$H$20</definedName>
    <definedName name="Z_1145FFFE_0B15_412A_9119_4265197A73DE_.wvu.FilterData" localSheetId="17" hidden="1">'5　9 (2)'!$H$2:$H$20</definedName>
    <definedName name="Z_1B580495_28BB_4C35_A615_F80E8FBAA752_.wvu.FilterData" localSheetId="17" hidden="1">'5　9 (2)'!$H$2:$H$20</definedName>
    <definedName name="Z_51CE31E2_BBFF_4379_930C_34789C5F2373_.wvu.FilterData" localSheetId="17" hidden="1">'5　9 (2)'!$H$2:$H$20</definedName>
    <definedName name="Z_74E98252_209A_4D50_A0C2_E7237876C7DE_.wvu.FilterData" localSheetId="17" hidden="1">'5　9 (2)'!$H$2:$H$20</definedName>
    <definedName name="Z_9070BDAA_BB18_4582_81E2_1236C2FD2D00_.wvu.FilterData" localSheetId="17" hidden="1">'5　9 (2)'!$H$2:$H$20</definedName>
    <definedName name="Z_E8AC4D23_DA01_4CC2_82A2_77EC50E494C0_.wvu.FilterData" localSheetId="17" hidden="1">'5　9 (2)'!$H$2:$H$20</definedName>
    <definedName name="Z_EB70D7AC_4D20_4948_BC31_3D6D791795C2_.wvu.FilterData" localSheetId="17" hidden="1">'5　9 (2)'!$H$2:$H$20</definedName>
    <definedName name="Z_F1927F92_D5F9_4321_9A8D_EA3CFFA9B94C_.wvu.FilterData" localSheetId="17" hidden="1">'5　9 (2)'!$H$2:$H$20</definedName>
    <definedName name="Z_027CCA6D_5C05_431D_859C_BA92270ECF70_.wvu.FilterData" localSheetId="18" hidden="1">'5　10'!$H$2:$H$5</definedName>
    <definedName name="Z_1145FFFE_0B15_412A_9119_4265197A73DE_.wvu.FilterData" localSheetId="18" hidden="1">'5　10'!$H$2:$H$5</definedName>
    <definedName name="Z_1B580495_28BB_4C35_A615_F80E8FBAA752_.wvu.FilterData" localSheetId="18" hidden="1">'5　10'!$H$2:$H$5</definedName>
    <definedName name="Z_51CE31E2_BBFF_4379_930C_34789C5F2373_.wvu.FilterData" localSheetId="18" hidden="1">'5　10'!$H$2:$H$4</definedName>
    <definedName name="Z_9070BDAA_BB18_4582_81E2_1236C2FD2D00_.wvu.FilterData" localSheetId="18" hidden="1">'5　10'!$H$2:$H$5</definedName>
    <definedName name="Z_C76B937F_4B65_4C39_8D01_76823DFAD6DC_.wvu.FilterData" localSheetId="18" hidden="1">'5　10'!$H$2:$H$4</definedName>
    <definedName name="Z_E8AC4D23_DA01_4CC2_82A2_77EC50E494C0_.wvu.FilterData" localSheetId="18" hidden="1">'5　10'!$H$2:$H$5</definedName>
    <definedName name="Z_EB70D7AC_4D20_4948_BC31_3D6D791795C2_.wvu.FilterData" localSheetId="18" hidden="1">'5　10'!$H$2:$H$5</definedName>
    <definedName name="Z_F1927F92_D5F9_4321_9A8D_EA3CFFA9B94C_.wvu.FilterData" localSheetId="18" hidden="1">'5　10'!$H$2:$H$5</definedName>
    <definedName name="_xlnm._FilterDatabase" localSheetId="18" hidden="1">'6　10'!$H$1:$H$7</definedName>
    <definedName name="Z_027CCA6D_5C05_431D_859C_BA92270ECF70_.wvu.FilterData" localSheetId="19" hidden="1">'5　11 '!$H$1:$H$10</definedName>
    <definedName name="Z_1145FFFE_0B15_412A_9119_4265197A73DE_.wvu.FilterData" localSheetId="19" hidden="1">'5　11 '!$H$1:$H$10</definedName>
    <definedName name="Z_1B580495_28BB_4C35_A615_F80E8FBAA752_.wvu.FilterData" localSheetId="19" hidden="1">'5　11 '!$H$1:$H$10</definedName>
    <definedName name="Z_51CE31E2_BBFF_4379_930C_34789C5F2373_.wvu.FilterData" localSheetId="19" hidden="1">'5　11 '!$H$1:$H$10</definedName>
    <definedName name="Z_9070BDAA_BB18_4582_81E2_1236C2FD2D00_.wvu.FilterData" localSheetId="19" hidden="1">'5　11 '!$H$1:$H$10</definedName>
    <definedName name="Z_E8AC4D23_DA01_4CC2_82A2_77EC50E494C0_.wvu.FilterData" localSheetId="19" hidden="1">'5　11 '!$H$1:$H$10</definedName>
    <definedName name="Z_EB70D7AC_4D20_4948_BC31_3D6D791795C2_.wvu.FilterData" localSheetId="19" hidden="1">'5　11 '!$H$1:$H$10</definedName>
    <definedName name="Z_F1927F92_D5F9_4321_9A8D_EA3CFFA9B94C_.wvu.FilterData" localSheetId="19" hidden="1">'5　11 '!$H$1:$H$10</definedName>
    <definedName name="_xlnm._FilterDatabase" localSheetId="19" hidden="1">'6　11 '!$H$1:$H$19</definedName>
    <definedName name="Z_027CCA6D_5C05_431D_859C_BA92270ECF70_.wvu.FilterData" localSheetId="20" hidden="1">'5　11  (2)'!$H$1:$H$24</definedName>
    <definedName name="Z_1145FFFE_0B15_412A_9119_4265197A73DE_.wvu.FilterData" localSheetId="20" hidden="1">'5　11  (2)'!$H$1:$H$24</definedName>
    <definedName name="Z_1B580495_28BB_4C35_A615_F80E8FBAA752_.wvu.FilterData" localSheetId="20" hidden="1">'5　11  (2)'!$H$1:$H$24</definedName>
    <definedName name="Z_51CE31E2_BBFF_4379_930C_34789C5F2373_.wvu.FilterData" localSheetId="20" hidden="1">'5　11  (2)'!$H$1:$H$23</definedName>
    <definedName name="Z_9070BDAA_BB18_4582_81E2_1236C2FD2D00_.wvu.FilterData" localSheetId="20" hidden="1">'5　11  (2)'!$H$1:$H$24</definedName>
    <definedName name="Z_E8AC4D23_DA01_4CC2_82A2_77EC50E494C0_.wvu.FilterData" localSheetId="20" hidden="1">'5　11  (2)'!$H$1:$H$24</definedName>
    <definedName name="Z_EB70D7AC_4D20_4948_BC31_3D6D791795C2_.wvu.FilterData" localSheetId="20" hidden="1">'5　11  (2)'!$H$1:$H$24</definedName>
    <definedName name="Z_F1927F92_D5F9_4321_9A8D_EA3CFFA9B94C_.wvu.FilterData" localSheetId="20" hidden="1">'5　11  (2)'!$H$1:$H$24</definedName>
    <definedName name="_xlnm._FilterDatabase" localSheetId="20" hidden="1">'6　11  (2)'!$F$1:$F$91</definedName>
    <definedName name="Z_027CCA6D_5C05_431D_859C_BA92270ECF70_.wvu.FilterData" localSheetId="21" hidden="1">'5　12'!$H$2:$H$16</definedName>
    <definedName name="Z_1145FFFE_0B15_412A_9119_4265197A73DE_.wvu.FilterData" localSheetId="21" hidden="1">'5　12'!$H$2:$H$16</definedName>
    <definedName name="Z_1B580495_28BB_4C35_A615_F80E8FBAA752_.wvu.FilterData" localSheetId="21" hidden="1">'5　12'!$H$2:$H$16</definedName>
    <definedName name="Z_2B42144B_DAAF_4710_8FD5_7988F65A0B38_.wvu.FilterData" localSheetId="21" hidden="1">'5　12'!$H$2:$H$16</definedName>
    <definedName name="Z_51CE31E2_BBFF_4379_930C_34789C5F2373_.wvu.FilterData" localSheetId="21" hidden="1">'5　12'!$H$2:$H$16</definedName>
    <definedName name="Z_564D74F9_97B1_4B85_9431_D5C8763F358B_.wvu.FilterData" localSheetId="21" hidden="1">'5　12'!$H$2:$H$16</definedName>
    <definedName name="Z_7CC92D97_E605_4D6E_ACC7_E42A19548E85_.wvu.FilterData" localSheetId="21" hidden="1">'5　12'!$H$2:$H$16</definedName>
    <definedName name="Z_9070BDAA_BB18_4582_81E2_1236C2FD2D00_.wvu.FilterData" localSheetId="21" hidden="1">'5　12'!$H$2:$H$16</definedName>
    <definedName name="Z_B4A15169_1643_4091_A9F3_113A2860069D_.wvu.FilterData" localSheetId="21" hidden="1">'5　12'!$H$2:$H$16</definedName>
    <definedName name="Z_E8AC4D23_DA01_4CC2_82A2_77EC50E494C0_.wvu.FilterData" localSheetId="21" hidden="1">'5　12'!$H$2:$H$16</definedName>
    <definedName name="Z_EB70D7AC_4D20_4948_BC31_3D6D791795C2_.wvu.FilterData" localSheetId="21" hidden="1">'5　12'!$H$2:$H$16</definedName>
    <definedName name="Z_F1927F92_D5F9_4321_9A8D_EA3CFFA9B94C_.wvu.FilterData" localSheetId="21" hidden="1">'5　12'!$H$2:$H$16</definedName>
    <definedName name="_xlnm._FilterDatabase" localSheetId="21" hidden="1">'6　12'!$H$1:$H$25</definedName>
    <definedName name="Z_027CCA6D_5C05_431D_859C_BA92270ECF70_.wvu.FilterData" localSheetId="22" hidden="1">'5　12 (2)'!$H$2:$H$28</definedName>
    <definedName name="Z_1145FFFE_0B15_412A_9119_4265197A73DE_.wvu.FilterData" localSheetId="22" hidden="1">'5　12 (2)'!$H$2:$H$28</definedName>
    <definedName name="Z_1B580495_28BB_4C35_A615_F80E8FBAA752_.wvu.FilterData" localSheetId="22" hidden="1">'5　12 (2)'!$H$2:$H$28</definedName>
    <definedName name="Z_2B42144B_DAAF_4710_8FD5_7988F65A0B38_.wvu.FilterData" localSheetId="22" hidden="1">'5　12 (2)'!$H$2:$H$28</definedName>
    <definedName name="Z_51CE31E2_BBFF_4379_930C_34789C5F2373_.wvu.FilterData" localSheetId="22" hidden="1">'5　12 (2)'!$H$2:$H$28</definedName>
    <definedName name="Z_564D74F9_97B1_4B85_9431_D5C8763F358B_.wvu.FilterData" localSheetId="22" hidden="1">'5　12 (2)'!$H$2:$H$28</definedName>
    <definedName name="Z_7CC92D97_E605_4D6E_ACC7_E42A19548E85_.wvu.FilterData" localSheetId="22" hidden="1">'5　12 (2)'!$H$2:$H$28</definedName>
    <definedName name="Z_9070BDAA_BB18_4582_81E2_1236C2FD2D00_.wvu.FilterData" localSheetId="22" hidden="1">'5　12 (2)'!$H$2:$H$28</definedName>
    <definedName name="Z_B4A15169_1643_4091_A9F3_113A2860069D_.wvu.FilterData" localSheetId="22" hidden="1">'5　12 (2)'!$H$2:$H$28</definedName>
    <definedName name="Z_E8AC4D23_DA01_4CC2_82A2_77EC50E494C0_.wvu.FilterData" localSheetId="22" hidden="1">'5　12 (2)'!$H$2:$H$28</definedName>
    <definedName name="Z_EB70D7AC_4D20_4948_BC31_3D6D791795C2_.wvu.FilterData" localSheetId="22" hidden="1">'5　12 (2)'!$H$2:$H$28</definedName>
    <definedName name="Z_F1927F92_D5F9_4321_9A8D_EA3CFFA9B94C_.wvu.FilterData" localSheetId="22" hidden="1">'5　12 (2)'!$H$2:$H$28</definedName>
    <definedName name="_xlnm._FilterDatabase" localSheetId="22" hidden="1">'6　12 (2)'!$H$1:$H$85</definedName>
    <definedName name="_xlnm._FilterDatabase" localSheetId="24" hidden="1">'6　13 (2)'!$H$2:$H$86</definedName>
    <definedName name="_xlnm._FilterDatabase" localSheetId="26" hidden="1">'6　14 (2)'!$H$2:$H$88</definedName>
    <definedName name="_xlnm._FilterDatabase" localSheetId="28" hidden="1">'6　15 (2)'!$H$2:$H$92</definedName>
    <definedName name="Z_027CCA6D_5C05_431D_859C_BA92270ECF70_.wvu.FilterData" localSheetId="32" hidden="1">'5　18'!$H$3:$H$12</definedName>
    <definedName name="Z_1145FFFE_0B15_412A_9119_4265197A73DE_.wvu.FilterData" localSheetId="32" hidden="1">'5　18'!$H$3:$H$12</definedName>
    <definedName name="Z_1B580495_28BB_4C35_A615_F80E8FBAA752_.wvu.FilterData" localSheetId="32" hidden="1">'5　18'!$H$3:$H$12</definedName>
    <definedName name="Z_2562A414_976F_4BA1_A83C_C2B6589D46A4_.wvu.FilterData" localSheetId="32" hidden="1">'5　18'!$H$3:$H$12</definedName>
    <definedName name="Z_51CE31E2_BBFF_4379_930C_34789C5F2373_.wvu.FilterData" localSheetId="32" hidden="1">'5　18'!$H$3:$H$11</definedName>
    <definedName name="Z_564D74F9_97B1_4B85_9431_D5C8763F358B_.wvu.FilterData" localSheetId="32" hidden="1">'5　18'!$H$3:$H$11</definedName>
    <definedName name="Z_5A003075_E9E5_4C5D_99DD_4D1CE2A4FDDB_.wvu.FilterData" localSheetId="32" hidden="1">'5　18'!$H$3:$H$12</definedName>
    <definedName name="Z_9070BDAA_BB18_4582_81E2_1236C2FD2D00_.wvu.FilterData" localSheetId="32" hidden="1">'5　18'!$H$3:$H$12</definedName>
    <definedName name="Z_D3FA57B5_B659_452D_A550_D86F2ABB54EE_.wvu.FilterData" localSheetId="32" hidden="1">'5　18'!$H$3:$H$12</definedName>
    <definedName name="Z_E8AC4D23_DA01_4CC2_82A2_77EC50E494C0_.wvu.FilterData" localSheetId="32" hidden="1">'5　18'!$H$3:$H$12</definedName>
    <definedName name="Z_EB70D7AC_4D20_4948_BC31_3D6D791795C2_.wvu.FilterData" localSheetId="32" hidden="1">'5　18'!$H$3:$H$12</definedName>
    <definedName name="Z_EFF28599_9B1F_4B90_AE25_B892230BB882_.wvu.FilterData" localSheetId="32" hidden="1">'5　18'!$H$3:$H$12</definedName>
    <definedName name="Z_F1927F92_D5F9_4321_9A8D_EA3CFFA9B94C_.wvu.FilterData" localSheetId="32" hidden="1">'5　18'!$H$3:$H$12</definedName>
    <definedName name="_xlnm._FilterDatabase" localSheetId="32" hidden="1">'6　18'!$H$2:$H$25</definedName>
    <definedName name="Z_027CCA6D_5C05_431D_859C_BA92270ECF70_.wvu.FilterData" localSheetId="33" hidden="1">'5　18 (2)'!$H$3:$H$30</definedName>
    <definedName name="Z_1145FFFE_0B15_412A_9119_4265197A73DE_.wvu.FilterData" localSheetId="33" hidden="1">'5　18 (2)'!$H$3:$H$30</definedName>
    <definedName name="Z_1B580495_28BB_4C35_A615_F80E8FBAA752_.wvu.FilterData" localSheetId="33" hidden="1">'5　18 (2)'!$H$3:$H$30</definedName>
    <definedName name="Z_2562A414_976F_4BA1_A83C_C2B6589D46A4_.wvu.FilterData" localSheetId="33" hidden="1">'5　18 (2)'!$H$3:$H$30</definedName>
    <definedName name="Z_51CE31E2_BBFF_4379_930C_34789C5F2373_.wvu.FilterData" localSheetId="33" hidden="1">'5　18 (2)'!$H$3:$H$28</definedName>
    <definedName name="Z_564D74F9_97B1_4B85_9431_D5C8763F358B_.wvu.FilterData" localSheetId="33" hidden="1">'5　18 (2)'!$H$3:$H$28</definedName>
    <definedName name="Z_5A003075_E9E5_4C5D_99DD_4D1CE2A4FDDB_.wvu.FilterData" localSheetId="33" hidden="1">'5　18 (2)'!$H$3:$H$30</definedName>
    <definedName name="Z_9070BDAA_BB18_4582_81E2_1236C2FD2D00_.wvu.FilterData" localSheetId="33" hidden="1">'5　18 (2)'!$H$3:$H$30</definedName>
    <definedName name="Z_D3FA57B5_B659_452D_A550_D86F2ABB54EE_.wvu.FilterData" localSheetId="33" hidden="1">'5　18 (2)'!$H$3:$H$30</definedName>
    <definedName name="Z_E8AC4D23_DA01_4CC2_82A2_77EC50E494C0_.wvu.FilterData" localSheetId="33" hidden="1">'5　18 (2)'!$H$3:$H$30</definedName>
    <definedName name="Z_EB70D7AC_4D20_4948_BC31_3D6D791795C2_.wvu.FilterData" localSheetId="33" hidden="1">'5　18 (2)'!$H$3:$H$30</definedName>
    <definedName name="Z_EFF28599_9B1F_4B90_AE25_B892230BB882_.wvu.FilterData" localSheetId="33" hidden="1">'5　18 (2)'!$H$3:$H$30</definedName>
    <definedName name="Z_F1927F92_D5F9_4321_9A8D_EA3CFFA9B94C_.wvu.FilterData" localSheetId="33" hidden="1">'5　18 (2)'!$H$3:$H$30</definedName>
    <definedName name="Z_027CCA6D_5C05_431D_859C_BA92270ECF70_.wvu.FilterData" localSheetId="34" hidden="1">'5　19'!$H$3:$H$15</definedName>
    <definedName name="Z_1145FFFE_0B15_412A_9119_4265197A73DE_.wvu.FilterData" localSheetId="34" hidden="1">'5　19'!$H$3:$H$15</definedName>
    <definedName name="Z_1B580495_28BB_4C35_A615_F80E8FBAA752_.wvu.FilterData" localSheetId="34" hidden="1">'5　19'!$H$3:$H$15</definedName>
    <definedName name="Z_2562A414_976F_4BA1_A83C_C2B6589D46A4_.wvu.FilterData" localSheetId="34" hidden="1">'5　19'!$H$3:$H$15</definedName>
    <definedName name="Z_51CE31E2_BBFF_4379_930C_34789C5F2373_.wvu.FilterData" localSheetId="34" hidden="1">'5　19'!$H$3:$H$15</definedName>
    <definedName name="Z_9070BDAA_BB18_4582_81E2_1236C2FD2D00_.wvu.FilterData" localSheetId="34" hidden="1">'5　19'!$H$3:$H$15</definedName>
    <definedName name="Z_D3FA57B5_B659_452D_A550_D86F2ABB54EE_.wvu.FilterData" localSheetId="34" hidden="1">'5　19'!$H$3:$H$15</definedName>
    <definedName name="Z_DF87D80D_8AB0_4350_8ECF_B94B2EDAAB57_.wvu.FilterData" localSheetId="34" hidden="1">'5　19'!$H$3:$H$15</definedName>
    <definedName name="Z_E8AC4D23_DA01_4CC2_82A2_77EC50E494C0_.wvu.FilterData" localSheetId="34" hidden="1">'5　19'!$H$3:$H$15</definedName>
    <definedName name="Z_EB70D7AC_4D20_4948_BC31_3D6D791795C2_.wvu.FilterData" localSheetId="34" hidden="1">'5　19'!$H$3:$H$15</definedName>
    <definedName name="Z_EC68F161_B12F_49ED_805F_189B50DD5CDF_.wvu.FilterData" localSheetId="34" hidden="1">'5　19'!$H$3:$H$15</definedName>
    <definedName name="Z_F1927F92_D5F9_4321_9A8D_EA3CFFA9B94C_.wvu.FilterData" localSheetId="34" hidden="1">'5　19'!$H$3:$H$15</definedName>
    <definedName name="_xlnm._FilterDatabase" localSheetId="34" hidden="1">'6　19'!$H$3:$H$30</definedName>
    <definedName name="Z_027CCA6D_5C05_431D_859C_BA92270ECF70_.wvu.FilterData" localSheetId="35" hidden="1">'5　19 (2)'!$H$3:$H$36</definedName>
    <definedName name="Z_1145FFFE_0B15_412A_9119_4265197A73DE_.wvu.FilterData" localSheetId="35" hidden="1">'5　19 (2)'!$H$3:$H$36</definedName>
    <definedName name="Z_1B580495_28BB_4C35_A615_F80E8FBAA752_.wvu.FilterData" localSheetId="35" hidden="1">'5　19 (2)'!$H$3:$H$36</definedName>
    <definedName name="Z_2562A414_976F_4BA1_A83C_C2B6589D46A4_.wvu.FilterData" localSheetId="35" hidden="1">'5　19 (2)'!$H$3:$H$36</definedName>
    <definedName name="Z_51CE31E2_BBFF_4379_930C_34789C5F2373_.wvu.FilterData" localSheetId="35" hidden="1">'5　19 (2)'!$H$3:$H$36</definedName>
    <definedName name="Z_9070BDAA_BB18_4582_81E2_1236C2FD2D00_.wvu.FilterData" localSheetId="35" hidden="1">'5　19 (2)'!$H$3:$H$36</definedName>
    <definedName name="Z_D3FA57B5_B659_452D_A550_D86F2ABB54EE_.wvu.FilterData" localSheetId="35" hidden="1">'5　19 (2)'!$H$3:$H$36</definedName>
    <definedName name="Z_DF87D80D_8AB0_4350_8ECF_B94B2EDAAB57_.wvu.FilterData" localSheetId="35" hidden="1">'5　19 (2)'!$H$3:$H$36</definedName>
    <definedName name="Z_E8AC4D23_DA01_4CC2_82A2_77EC50E494C0_.wvu.FilterData" localSheetId="35" hidden="1">'5　19 (2)'!$H$3:$H$36</definedName>
    <definedName name="Z_EB70D7AC_4D20_4948_BC31_3D6D791795C2_.wvu.FilterData" localSheetId="35" hidden="1">'5　19 (2)'!$H$3:$H$36</definedName>
    <definedName name="Z_EC68F161_B12F_49ED_805F_189B50DD5CDF_.wvu.FilterData" localSheetId="35" hidden="1">'5　19 (2)'!$H$3:$H$36</definedName>
    <definedName name="Z_F1927F92_D5F9_4321_9A8D_EA3CFFA9B94C_.wvu.FilterData" localSheetId="35" hidden="1">'5　19 (2)'!$H$3:$H$36</definedName>
    <definedName name="_xlnm._FilterDatabase" localSheetId="35" hidden="1">'6　19 (2)'!$H$3:$H$36</definedName>
    <definedName name="Z_1B580495_28BB_4C35_A615_F80E8FBAA752_.wvu.Cols" localSheetId="42" hidden="1">'5　23'!$K:$K</definedName>
    <definedName name="Z_EB70D7AC_4D20_4948_BC31_3D6D791795C2_.wvu.Cols" localSheetId="42" hidden="1">'5　23'!$K:$K</definedName>
    <definedName name="Z_1B580495_28BB_4C35_A615_F80E8FBAA752_.wvu.Cols" localSheetId="43" hidden="1">'5　23 (2)'!$K:$K</definedName>
    <definedName name="Z_EB70D7AC_4D20_4948_BC31_3D6D791795C2_.wvu.Cols" localSheetId="43" hidden="1">'5　23 (2)'!$K:$K</definedName>
    <definedName name="Z_E8AC4D23_DA01_4CC2_82A2_77EC50E494C0_.wvu.Cols" localSheetId="44" hidden="1">'5　24'!$K:$K</definedName>
    <definedName name="Z_027CCA6D_5C05_431D_859C_BA92270ECF70_.wvu.PrintArea" localSheetId="45" hidden="1">'5　25'!$A$2:$K$4</definedName>
    <definedName name="Z_1145FFFE_0B15_412A_9119_4265197A73DE_.wvu.PrintArea" localSheetId="45" hidden="1">'5　25'!$A$2:$K$4</definedName>
    <definedName name="Z_F1927F92_D5F9_4321_9A8D_EA3CFFA9B94C_.wvu.PrintArea" localSheetId="45" hidden="1">'5　25'!$A$2:$K$4</definedName>
    <definedName name="Z_027CCA6D_5C05_431D_859C_BA92270ECF70_.wvu.PrintArea" localSheetId="46" hidden="1">'5　25 (2)'!$A$2:$K$6</definedName>
    <definedName name="Z_1145FFFE_0B15_412A_9119_4265197A73DE_.wvu.PrintArea" localSheetId="46" hidden="1">'5　25 (2)'!$A$2:$K$6</definedName>
    <definedName name="Z_F1927F92_D5F9_4321_9A8D_EA3CFFA9B94C_.wvu.PrintArea" localSheetId="46" hidden="1">'5　25 (2)'!$A$2:$K$6</definedName>
    <definedName name="Z_B78B4E79_CF36_4AD1_8BDF_B3953C7D2586_.wvu.PrintArea" localSheetId="57" hidden="1">運賃マスター!$A$1:$O$53</definedName>
    <definedName name="Z_E8AC4D23_DA01_4CC2_82A2_77EC50E494C0_.wvu.PrintArea" localSheetId="57" hidden="1">運賃マスター!$A$1:$O$53</definedName>
    <definedName name="_xlnm.Print_Area" localSheetId="57">'運賃マスター'!$A$1:$O$53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(&quot;aaa&quot;)&quot;"/>
  </numFmts>
  <fonts count="85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2"/>
      <color theme="1"/>
      <sz val="8"/>
      <scheme val="minor"/>
    </font>
    <font>
      <name val="ＭＳ Ｐゴシック"/>
      <charset val="128"/>
      <family val="2"/>
      <sz val="6"/>
      <scheme val="minor"/>
    </font>
    <font>
      <name val="HGP明朝B"/>
      <charset val="128"/>
      <family val="1"/>
      <color theme="1"/>
      <sz val="16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sz val="12"/>
      <scheme val="minor"/>
    </font>
    <font>
      <name val="ＭＳ Ｐゴシック"/>
      <charset val="128"/>
      <family val="2"/>
      <color theme="1"/>
      <sz val="10"/>
      <scheme val="minor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color rgb="FFFF0000"/>
      <sz val="12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HGP明朝B"/>
      <charset val="128"/>
      <family val="1"/>
      <b val="1"/>
      <color theme="8" tint="0.5999938962981048"/>
      <sz val="16"/>
    </font>
    <font>
      <name val="HGP明朝B"/>
      <charset val="128"/>
      <family val="1"/>
      <b val="1"/>
      <color theme="9" tint="-0.249977111117893"/>
      <sz val="16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9" tint="-0.249977111117893"/>
      <sz val="11"/>
      <scheme val="minor"/>
    </font>
    <font>
      <name val="ＭＳ Ｐゴシック"/>
      <charset val="128"/>
      <family val="3"/>
      <b val="1"/>
      <color theme="9" tint="-0.249946592608417"/>
      <sz val="11"/>
      <scheme val="minor"/>
    </font>
    <font>
      <name val="ＭＳ Ｐゴシック"/>
      <charset val="128"/>
      <family val="3"/>
      <b val="1"/>
      <color rgb="FFFF0000"/>
      <sz val="11"/>
      <scheme val="minor"/>
    </font>
    <font>
      <name val="ＭＳ Ｐゴシック"/>
      <charset val="128"/>
      <family val="2"/>
      <b val="1"/>
      <color theme="9" tint="-0.249946592608417"/>
      <sz val="11"/>
      <scheme val="minor"/>
    </font>
    <font>
      <name val="ＭＳ Ｐゴシック"/>
      <charset val="128"/>
      <family val="3"/>
      <b val="1"/>
      <color rgb="FF00B0F0"/>
      <sz val="18"/>
      <scheme val="min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3"/>
      <color rgb="FF00B0F0"/>
      <sz val="12"/>
      <scheme val="minor"/>
    </font>
    <font>
      <name val="Noto Sans JP Black"/>
      <charset val="128"/>
      <family val="3"/>
      <b val="1"/>
      <color theme="1"/>
      <sz val="11"/>
    </font>
    <font>
      <name val="Noto Sans JP Black"/>
      <charset val="128"/>
      <family val="3"/>
      <b val="1"/>
      <color theme="1"/>
      <sz val="14"/>
    </font>
    <font>
      <name val="Noto Sans JP Black"/>
      <charset val="128"/>
      <family val="3"/>
      <b val="1"/>
      <color theme="9" tint="-0.249977111117893"/>
      <sz val="11"/>
    </font>
    <font>
      <name val="Noto Sans JP Black"/>
      <charset val="128"/>
      <family val="3"/>
      <b val="1"/>
      <color rgb="FFFFC000"/>
      <sz val="14"/>
    </font>
    <font>
      <name val="Noto Sans JP Black"/>
      <charset val="128"/>
      <family val="3"/>
      <b val="1"/>
      <color theme="6" tint="-0.249977111117893"/>
      <sz val="11"/>
    </font>
    <font>
      <name val="Noto Sans JP Black"/>
      <charset val="128"/>
      <family val="3"/>
      <color theme="1"/>
      <sz val="12"/>
    </font>
    <font>
      <name val="Noto Sans JP Black"/>
      <charset val="128"/>
      <family val="3"/>
      <b val="1"/>
      <color theme="8" tint="-0.249977111117893"/>
      <sz val="12"/>
    </font>
    <font>
      <name val="Noto Sans JP Black"/>
      <charset val="128"/>
      <family val="3"/>
      <b val="1"/>
      <sz val="11"/>
    </font>
    <font>
      <name val="Noto Sans JP Black"/>
      <charset val="128"/>
      <family val="3"/>
      <b val="1"/>
      <color theme="9" tint="-0.249946592608417"/>
      <sz val="11"/>
    </font>
    <font>
      <name val="Noto Sans JP Black"/>
      <charset val="128"/>
      <family val="3"/>
      <b val="1"/>
      <color rgb="FFFFC000"/>
      <sz val="11"/>
    </font>
    <font>
      <name val="Noto Sans JP Black"/>
      <charset val="128"/>
      <family val="3"/>
      <color rgb="FFFF0000"/>
      <sz val="14"/>
    </font>
    <font>
      <name val="ＭＳ Ｐゴシック"/>
      <charset val="128"/>
      <family val="2"/>
      <b val="1"/>
      <color theme="1"/>
      <sz val="11"/>
      <scheme val="minor"/>
    </font>
    <font>
      <name val="ＭＳ Ｐゴシック"/>
      <charset val="128"/>
      <family val="2"/>
      <color rgb="FF0070C0"/>
      <sz val="11"/>
      <scheme val="minor"/>
    </font>
    <font>
      <name val="ＭＳ Ｐゴシック"/>
      <charset val="128"/>
      <family val="3"/>
      <b val="1"/>
      <color rgb="FF0070C0"/>
      <sz val="11"/>
      <scheme val="minor"/>
    </font>
    <font>
      <name val="ＭＳ Ｐゴシック"/>
      <charset val="128"/>
      <family val="2"/>
      <b val="1"/>
      <color rgb="FFFFFFFF"/>
      <sz val="16"/>
      <scheme val="minor"/>
    </font>
    <font>
      <name val="ＭＳ Ｐゴシック"/>
      <charset val="128"/>
      <family val="2"/>
      <b val="1"/>
      <color theme="1"/>
      <sz val="13"/>
      <scheme val="minor"/>
    </font>
    <font>
      <name val="ＭＳ Ｐゴシック"/>
      <charset val="128"/>
      <family val="2"/>
      <b val="1"/>
      <color rgb="FFFFFFFF"/>
      <sz val="11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2"/>
      <color rgb="FF1A3C5E"/>
      <sz val="11"/>
      <scheme val="minor"/>
    </font>
    <font>
      <name val="ＭＳ Ｐゴシック"/>
      <charset val="128"/>
      <family val="2"/>
      <color rgb="FF1E4D2B"/>
      <sz val="11"/>
      <scheme val="minor"/>
    </font>
    <font>
      <name val="ＭＳ Ｐゴシック"/>
      <charset val="128"/>
      <family val="2"/>
      <color rgb="FF3B1A5E"/>
      <sz val="11"/>
      <scheme val="minor"/>
    </font>
    <font>
      <name val="ＭＳ Ｐゴシック"/>
      <charset val="128"/>
      <family val="2"/>
      <color rgb="FF1A3C5E"/>
      <sz val="12"/>
      <scheme val="minor"/>
    </font>
    <font>
      <name val="ＭＳ Ｐゴシック"/>
      <charset val="128"/>
      <family val="3"/>
      <color rgb="FF1A3C5E"/>
      <sz val="12"/>
      <scheme val="minor"/>
    </font>
    <font>
      <name val="ＭＳ Ｐゴシック"/>
      <charset val="128"/>
      <family val="3"/>
      <color rgb="FF1E4D2B"/>
      <sz val="12"/>
      <scheme val="minor"/>
    </font>
    <font>
      <name val="ＭＳ Ｐゴシック"/>
      <charset val="128"/>
      <family val="2"/>
      <color rgb="FF1E4D2B"/>
      <sz val="12"/>
      <scheme val="minor"/>
    </font>
    <font>
      <name val="ＭＳ Ｐゴシック"/>
      <charset val="128"/>
      <family val="3"/>
      <color rgb="FF3B1A5E"/>
      <sz val="12"/>
      <scheme val="minor"/>
    </font>
    <font>
      <name val="ＭＳ Ｐゴシック"/>
      <charset val="128"/>
      <family val="2"/>
      <color rgb="FF1B3A5C"/>
      <sz val="11"/>
      <scheme val="minor"/>
    </font>
    <font>
      <name val="ＭＳ Ｐゴシック"/>
      <charset val="128"/>
      <family val="2"/>
      <color rgb="FF1A4D3E"/>
      <sz val="11"/>
      <scheme val="minor"/>
    </font>
    <font>
      <name val="ＭＳ Ｐゴシック"/>
      <charset val="128"/>
      <family val="2"/>
      <b val="1"/>
      <color rgb="FF1A3C5E"/>
      <sz val="11"/>
      <scheme val="minor"/>
    </font>
    <font>
      <name val="ＭＳ Ｐゴシック"/>
      <charset val="128"/>
      <family val="2"/>
      <b val="1"/>
      <color rgb="FF1E4D2B"/>
      <sz val="11"/>
      <scheme val="minor"/>
    </font>
    <font>
      <name val="ＭＳ Ｐゴシック"/>
      <charset val="128"/>
      <family val="2"/>
      <b val="1"/>
      <color rgb="FF3B1A5E"/>
      <sz val="11"/>
      <scheme val="minor"/>
    </font>
    <font>
      <name val="ＭＳ Ｐゴシック"/>
      <charset val="128"/>
      <family val="3"/>
      <b val="1"/>
      <color rgb="FF1A3C5E"/>
      <sz val="12"/>
      <scheme val="minor"/>
    </font>
    <font>
      <name val="ＭＳ Ｐゴシック"/>
      <charset val="128"/>
      <family val="3"/>
      <b val="1"/>
      <color rgb="FF1E4D2B"/>
      <sz val="12"/>
      <scheme val="minor"/>
    </font>
    <font>
      <name val="ＭＳ Ｐゴシック"/>
      <charset val="128"/>
      <family val="3"/>
      <b val="1"/>
      <color rgb="FF3B1A5E"/>
      <sz val="12"/>
      <scheme val="minor"/>
    </font>
    <font>
      <name val="ＭＳ Ｐゴシック"/>
      <charset val="128"/>
      <family val="2"/>
      <b val="1"/>
      <color theme="1"/>
      <sz val="14"/>
      <scheme val="minor"/>
    </font>
    <font>
      <name val="ＭＳ Ｐゴシック"/>
      <charset val="128"/>
      <family val="2"/>
      <b val="1"/>
      <color theme="1"/>
      <sz val="12"/>
      <scheme val="minor"/>
    </font>
    <font>
      <name val="ＭＳ Ｐゴシック"/>
      <charset val="128"/>
      <family val="2"/>
      <color rgb="FF000000"/>
      <sz val="11"/>
      <scheme val="minor"/>
    </font>
    <font>
      <name val="ＭＳ Ｐゴシック"/>
      <charset val="128"/>
      <family val="2"/>
      <b val="1"/>
      <color rgb="FF000000"/>
      <sz val="11"/>
      <scheme val="minor"/>
    </font>
    <font>
      <name val="ＭＳ Ｐゴシック"/>
      <charset val="128"/>
      <family val="3"/>
      <color rgb="FF000000"/>
      <sz val="12"/>
      <scheme val="minor"/>
    </font>
    <font>
      <name val="ＭＳ Ｐゴシック"/>
      <charset val="128"/>
      <family val="3"/>
      <b val="1"/>
      <color rgb="FF000000"/>
      <sz val="12"/>
      <scheme val="minor"/>
    </font>
    <font>
      <name val="ＭＳ Ｐゴシック"/>
      <charset val="128"/>
      <family val="2"/>
      <color rgb="FF3B1A5E"/>
      <sz val="12"/>
      <scheme val="minor"/>
    </font>
    <font>
      <name val="ＭＳ Ｐゴシック"/>
      <charset val="128"/>
      <family val="3"/>
      <color theme="1"/>
      <sz val="10"/>
      <scheme val="minor"/>
    </font>
    <font>
      <name val="Noto Sans JP Black"/>
      <charset val="128"/>
      <family val="3"/>
      <b val="1"/>
      <color rgb="FFFF0000"/>
      <sz val="14"/>
    </font>
    <font>
      <name val="ＭＳ Ｐゴシック"/>
      <charset val="128"/>
      <family val="3"/>
      <sz val="10"/>
    </font>
    <font>
      <name val="Noto Sans JP Black"/>
      <charset val="128"/>
      <family val="3"/>
      <b val="1"/>
      <color rgb="FF002060"/>
      <sz val="18"/>
    </font>
    <font>
      <name val="Noto Sans JP Black"/>
      <charset val="128"/>
      <family val="3"/>
      <b val="1"/>
      <color rgb="FF0070C0"/>
      <sz val="14"/>
    </font>
    <font>
      <name val="Noto Sans JP Black"/>
      <charset val="128"/>
      <family val="3"/>
      <b val="1"/>
      <color rgb="FF0070C0"/>
      <sz val="11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Noto Sans JP Black"/>
      <charset val="128"/>
      <family val="3"/>
      <b val="1"/>
      <color rgb="FF00B050"/>
      <sz val="14"/>
    </font>
    <font>
      <name val="Noto Sans JP Black"/>
      <charset val="128"/>
      <family val="3"/>
      <b val="1"/>
      <color rgb="FFFF0000"/>
      <sz val="11"/>
    </font>
    <font>
      <name val="ＭＳ Ｐゴシック"/>
      <charset val="128"/>
      <family val="2"/>
      <b val="1"/>
      <color rgb="FF0000FF"/>
      <sz val="11"/>
      <scheme val="minor"/>
    </font>
    <font>
      <name val="Noto Sans JP Black"/>
      <charset val="128"/>
      <family val="3"/>
      <b val="1"/>
      <color rgb="FF002060"/>
      <sz val="16"/>
    </font>
    <font>
      <name val="Noto Sans JP Black"/>
      <charset val="128"/>
      <family val="3"/>
      <b val="1"/>
      <color rgb="FFC00000"/>
      <sz val="14"/>
    </font>
    <font>
      <name val="ＭＳ Ｐゴシック"/>
      <charset val="128"/>
      <family val="3"/>
      <color rgb="FF000000"/>
      <sz val="11"/>
      <scheme val="minor"/>
    </font>
    <font>
      <name val="ＭＳ Ｐゴシック"/>
      <charset val="128"/>
      <family val="2"/>
      <b val="1"/>
      <color rgb="FF0070C0"/>
      <sz val="11"/>
      <scheme val="minor"/>
    </font>
    <font>
      <name val="Noto Sans JP Black"/>
      <charset val="128"/>
      <family val="3"/>
      <b val="1"/>
      <color rgb="FFFF0000"/>
      <sz val="16"/>
    </font>
    <font>
      <name val="ＭＳ Ｐゴシック"/>
      <charset val="128"/>
      <family val="3"/>
      <b val="1"/>
      <color rgb="FF0000FF"/>
      <sz val="11"/>
      <scheme val="minor"/>
    </font>
    <font>
      <name val="Noto Sans JP Black"/>
      <charset val="128"/>
      <family val="3"/>
      <b val="1"/>
      <color rgb="FF0000FF"/>
      <sz val="11"/>
    </font>
    <font>
      <name val="ＭＳ Ｐゴシック"/>
      <charset val="128"/>
      <family val="3"/>
      <b val="1"/>
      <color rgb="FFFF0000"/>
      <sz val="12"/>
      <scheme val="minor"/>
    </font>
    <font>
      <name val="HGP明朝B"/>
      <charset val="128"/>
      <family val="1"/>
      <color rgb="FF000000"/>
      <sz val="16"/>
    </font>
  </fonts>
  <fills count="2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D6E8F7"/>
        <bgColor indexed="64"/>
      </patternFill>
    </fill>
    <fill>
      <patternFill patternType="solid">
        <fgColor rgb="FFD9F2D9"/>
        <bgColor indexed="64"/>
      </patternFill>
    </fill>
    <fill>
      <patternFill patternType="solid">
        <fgColor rgb="FFE8D5F5"/>
        <bgColor indexed="64"/>
      </patternFill>
    </fill>
    <fill>
      <patternFill patternType="solid">
        <fgColor rgb="FFDAEAF6"/>
        <bgColor indexed="64"/>
      </patternFill>
    </fill>
    <fill>
      <patternFill patternType="solid">
        <fgColor rgb="FFD5F0E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3999755851924192"/>
        <bgColor indexed="64"/>
      </patternFill>
    </fill>
  </fills>
  <borders count="1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4472C4"/>
      </right>
      <top style="hair">
        <color rgb="FFB4C6E7"/>
      </top>
      <bottom style="hair">
        <color rgb="FFB4C6E7"/>
      </bottom>
      <diagonal/>
    </border>
    <border>
      <left/>
      <right style="thin">
        <color rgb="FF4472C4"/>
      </right>
      <top style="hair">
        <color rgb="FFB4C6E7"/>
      </top>
      <bottom style="thin">
        <color rgb="FF4472C4"/>
      </bottom>
      <diagonal/>
    </border>
    <border>
      <left style="hair">
        <color rgb="FFB4C6E7"/>
      </left>
      <right style="thin">
        <color rgb="FF4472C4"/>
      </right>
      <top style="thin">
        <color rgb="FF4472C4"/>
      </top>
      <bottom style="hair">
        <color rgb="FFB4C6E7"/>
      </bottom>
      <diagonal/>
    </border>
    <border>
      <left style="hair">
        <color rgb="FFB4C6E7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hair">
        <color rgb="FFB4C6E7"/>
      </left>
      <right/>
      <top style="hair">
        <color rgb="FFB4C6E7"/>
      </top>
      <bottom style="hair">
        <color rgb="FFB4C6E7"/>
      </bottom>
      <diagonal/>
    </border>
    <border>
      <left style="hair">
        <color rgb="FFB4C6E7"/>
      </left>
      <right style="hair">
        <color rgb="FFB4C6E7"/>
      </right>
      <top style="hair">
        <color rgb="FFB4C6E7"/>
      </top>
      <bottom/>
      <diagonal/>
    </border>
    <border>
      <left style="hair">
        <color rgb="FFB4C6E7"/>
      </left>
      <right/>
      <top style="hair">
        <color rgb="FFB4C6E7"/>
      </top>
      <bottom/>
      <diagonal/>
    </border>
    <border>
      <left/>
      <right style="thin">
        <color rgb="FF4472C4"/>
      </right>
      <top style="hair">
        <color rgb="FFB4C6E7"/>
      </top>
      <bottom/>
      <diagonal/>
    </border>
    <border>
      <left/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thin">
        <color rgb="FF4472C4"/>
      </left>
      <right style="hair">
        <color rgb="FFB4C6E7"/>
      </right>
      <top style="thin">
        <color rgb="FF4472C4"/>
      </top>
      <bottom/>
      <diagonal/>
    </border>
    <border>
      <left style="thick">
        <color rgb="FF1A3C5E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thick">
        <color rgb="FF1A3C5E"/>
      </left>
      <right style="hair">
        <color rgb="FFB4C6E7"/>
      </right>
      <top style="hair">
        <color rgb="FFB4C6E7"/>
      </top>
      <bottom/>
      <diagonal/>
    </border>
    <border>
      <left style="thick">
        <color rgb="FF1E4D2B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thick">
        <color rgb="FF1E4D2B"/>
      </left>
      <right style="hair">
        <color rgb="FFB4C6E7"/>
      </right>
      <top style="hair">
        <color rgb="FFB4C6E7"/>
      </top>
      <bottom/>
      <diagonal/>
    </border>
    <border>
      <left style="hair">
        <color rgb="FFB4C6E7"/>
      </left>
      <right style="hair">
        <color rgb="FFB4C6E7"/>
      </right>
      <top style="thin">
        <color rgb="FF4472C4"/>
      </top>
      <bottom/>
      <diagonal/>
    </border>
    <border>
      <left style="thick">
        <color rgb="FF3B1A5E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thick">
        <color rgb="FF1B3A5C"/>
      </left>
      <right style="hair">
        <color rgb="FFB4C6E7"/>
      </right>
      <top style="hair">
        <color rgb="FFB4C6E7"/>
      </top>
      <bottom/>
      <diagonal/>
    </border>
    <border>
      <left style="thick">
        <color rgb="FF1A4D3E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thick">
        <color rgb="FF1A4D3E"/>
      </left>
      <right style="hair">
        <color rgb="FFB4C6E7"/>
      </right>
      <top style="hair">
        <color rgb="FFB4C6E7"/>
      </top>
      <bottom/>
      <diagonal/>
    </border>
    <border>
      <left style="hair">
        <color rgb="FFB4C6E7"/>
      </left>
      <right style="thin">
        <color rgb="FF4472C4"/>
      </right>
      <top style="thin">
        <color rgb="FF4472C4"/>
      </top>
      <bottom/>
      <diagonal/>
    </border>
    <border>
      <left style="thin">
        <color rgb="FF999999"/>
      </left>
      <right style="hair">
        <color rgb="FFCCCCCC"/>
      </right>
      <top style="thin">
        <color rgb="FF999999"/>
      </top>
      <bottom style="hair">
        <color rgb="FFCCCCCC"/>
      </bottom>
      <diagonal/>
    </border>
    <border>
      <left style="hair">
        <color rgb="FFCCCCCC"/>
      </left>
      <right style="thin">
        <color rgb="FF999999"/>
      </right>
      <top style="thin">
        <color rgb="FF999999"/>
      </top>
      <bottom style="hair">
        <color rgb="FFCCCCCC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  <diagonal/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  <diagonal/>
    </border>
    <border>
      <left style="thin">
        <color rgb="FF999999"/>
      </left>
      <right style="hair">
        <color rgb="FFCCCCCC"/>
      </right>
      <top style="hair">
        <color rgb="FFCCCCCC"/>
      </top>
      <bottom style="thin">
        <color rgb="FF999999"/>
      </bottom>
      <diagonal/>
    </border>
    <border>
      <left style="hair">
        <color rgb="FFCCCCCC"/>
      </left>
      <right style="thin">
        <color rgb="FF999999"/>
      </right>
      <top style="hair">
        <color rgb="FFCCCCCC"/>
      </top>
      <bottom style="thin">
        <color rgb="FF999999"/>
      </bottom>
      <diagonal/>
    </border>
    <border>
      <left style="medium">
        <color indexed="64"/>
      </left>
      <right style="hair">
        <color rgb="FFB4C6E7"/>
      </right>
      <top style="medium">
        <color indexed="64"/>
      </top>
      <bottom/>
      <diagonal/>
    </border>
    <border>
      <left style="hair">
        <color rgb="FFB4C6E7"/>
      </left>
      <right style="hair">
        <color rgb="FFB4C6E7"/>
      </right>
      <top style="medium">
        <color indexed="64"/>
      </top>
      <bottom/>
      <diagonal/>
    </border>
    <border>
      <left style="hair">
        <color rgb="FFB4C6E7"/>
      </left>
      <right/>
      <top style="medium">
        <color indexed="64"/>
      </top>
      <bottom/>
      <diagonal/>
    </border>
    <border>
      <left style="hair">
        <color rgb="FFB4C6E7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rgb="FFB4C6E7"/>
      </right>
      <top style="hair">
        <color rgb="FFB4C6E7"/>
      </top>
      <bottom/>
      <diagonal/>
    </border>
    <border>
      <left style="hair">
        <color rgb="FFB4C6E7"/>
      </left>
      <right style="medium">
        <color indexed="64"/>
      </right>
      <top style="hair">
        <color rgb="FFB4C6E7"/>
      </top>
      <bottom/>
      <diagonal/>
    </border>
    <border>
      <left style="medium">
        <color indexed="64"/>
      </left>
      <right style="hair">
        <color rgb="FFB4C6E7"/>
      </right>
      <top style="hair">
        <color rgb="FFB4C6E7"/>
      </top>
      <bottom style="hair">
        <color rgb="FFB4C6E7"/>
      </bottom>
      <diagonal/>
    </border>
    <border>
      <left style="hair">
        <color rgb="FFB4C6E7"/>
      </left>
      <right style="medium">
        <color indexed="64"/>
      </right>
      <top style="hair">
        <color rgb="FFB4C6E7"/>
      </top>
      <bottom style="hair">
        <color rgb="FFB4C6E7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hair">
        <color rgb="FFB4C6E7"/>
      </top>
      <bottom/>
      <diagonal/>
    </border>
    <border>
      <left style="hair">
        <color rgb="FFB4C6E7"/>
      </left>
      <right style="hair">
        <color rgb="FFB4C6E7"/>
      </right>
      <top style="dotted">
        <color rgb="FF000000"/>
      </top>
      <bottom style="hair">
        <color rgb="FFB4C6E7"/>
      </bottom>
      <diagonal/>
    </border>
    <border>
      <left style="hair">
        <color rgb="FFB4C6E7"/>
      </left>
      <right style="medium">
        <color indexed="64"/>
      </right>
      <top style="dotted">
        <color rgb="FF000000"/>
      </top>
      <bottom style="hair">
        <color rgb="FFB4C6E7"/>
      </bottom>
      <diagonal/>
    </border>
    <border>
      <left style="hair">
        <color rgb="FFB4C6E7"/>
      </left>
      <right style="hair">
        <color rgb="FFB4C6E7"/>
      </right>
      <top style="hair">
        <color rgb="FFB4C6E7"/>
      </top>
      <bottom style="medium">
        <color indexed="64"/>
      </bottom>
      <diagonal/>
    </border>
    <border>
      <left style="hair">
        <color rgb="FFB4C6E7"/>
      </left>
      <right style="medium">
        <color indexed="64"/>
      </right>
      <top style="hair">
        <color rgb="FFB4C6E7"/>
      </top>
      <bottom style="medium">
        <color indexed="64"/>
      </bottom>
      <diagonal/>
    </border>
    <border>
      <left style="medium">
        <color indexed="64"/>
      </left>
      <right style="hair">
        <color rgb="FFB4C6E7"/>
      </right>
      <top style="dotted">
        <color rgb="FF000000"/>
      </top>
      <bottom style="hair">
        <color rgb="FFB4C6E7"/>
      </bottom>
      <diagonal/>
    </border>
    <border>
      <left style="medium">
        <color indexed="64"/>
      </left>
      <right style="hair">
        <color rgb="FFB4C6E7"/>
      </right>
      <top style="hair">
        <color rgb="FFB4C6E7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1" fillId="0" borderId="0" applyAlignment="1">
      <alignment vertical="center"/>
    </xf>
    <xf numFmtId="38" fontId="1" fillId="0" borderId="0" applyAlignment="1">
      <alignment vertical="center"/>
    </xf>
    <xf numFmtId="9" fontId="1" fillId="0" borderId="0" applyAlignment="1">
      <alignment vertical="center"/>
    </xf>
    <xf numFmtId="38" fontId="1" fillId="0" borderId="0" applyAlignment="1">
      <alignment vertical="center"/>
    </xf>
    <xf numFmtId="9" fontId="1" fillId="0" borderId="0" applyAlignment="1">
      <alignment vertical="center"/>
    </xf>
  </cellStyleXfs>
  <cellXfs count="50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5" fillId="2" borderId="2" applyAlignment="1" pivotButton="0" quotePrefix="0" xfId="0">
      <alignment horizontal="center" vertical="center" shrinkToFit="1"/>
    </xf>
    <xf numFmtId="0" fontId="5" fillId="2" borderId="3" applyAlignment="1" pivotButton="0" quotePrefix="0" xfId="0">
      <alignment horizontal="center" vertical="center" shrinkToFit="1"/>
    </xf>
    <xf numFmtId="0" fontId="5" fillId="2" borderId="4" applyAlignment="1" pivotButton="0" quotePrefix="0" xfId="0">
      <alignment vertical="center" shrinkToFit="1"/>
    </xf>
    <xf numFmtId="38" fontId="5" fillId="2" borderId="2" applyAlignment="1" pivotButton="0" quotePrefix="0" xfId="1">
      <alignment horizontal="center" vertical="center" shrinkToFit="1"/>
    </xf>
    <xf numFmtId="0" fontId="0" fillId="2" borderId="8" applyAlignment="1" pivotButton="0" quotePrefix="0" xfId="0">
      <alignment vertical="center" shrinkToFit="1"/>
    </xf>
    <xf numFmtId="0" fontId="2" fillId="2" borderId="5" applyAlignment="1" pivotButton="0" quotePrefix="0" xfId="0">
      <alignment vertical="center" shrinkToFit="1"/>
    </xf>
    <xf numFmtId="0" fontId="0" fillId="2" borderId="5" applyAlignment="1" pivotButton="0" quotePrefix="0" xfId="0">
      <alignment vertical="center" shrinkToFit="1"/>
    </xf>
    <xf numFmtId="0" fontId="0" fillId="2" borderId="7" applyAlignment="1" pivotButton="0" quotePrefix="0" xfId="0">
      <alignment vertical="center" shrinkToFit="1"/>
    </xf>
    <xf numFmtId="0" fontId="2" fillId="2" borderId="7" applyAlignment="1" pivotButton="0" quotePrefix="0" xfId="0">
      <alignment vertical="center" shrinkToFit="1"/>
    </xf>
    <xf numFmtId="20" fontId="0" fillId="2" borderId="7" applyAlignment="1" pivotButton="0" quotePrefix="0" xfId="0">
      <alignment vertical="center" shrinkToFit="1"/>
    </xf>
    <xf numFmtId="20" fontId="0" fillId="2" borderId="5" applyAlignment="1" pivotButton="0" quotePrefix="0" xfId="0">
      <alignment vertical="center" shrinkToFit="1"/>
    </xf>
    <xf numFmtId="0" fontId="0" fillId="2" borderId="6" applyAlignment="1" pivotButton="0" quotePrefix="0" xfId="0">
      <alignment vertical="center" shrinkToFit="1"/>
    </xf>
    <xf numFmtId="0" fontId="0" fillId="2" borderId="6" applyAlignment="1" pivotButton="0" quotePrefix="0" xfId="0">
      <alignment horizontal="center" vertical="center" shrinkToFit="1"/>
    </xf>
    <xf numFmtId="0" fontId="0" fillId="2" borderId="5" applyAlignment="1" pivotButton="0" quotePrefix="0" xfId="0">
      <alignment horizontal="center" vertical="center" shrinkToFit="1"/>
    </xf>
    <xf numFmtId="0" fontId="0" fillId="2" borderId="7" applyAlignment="1" pivotButton="0" quotePrefix="0" xfId="0">
      <alignment horizontal="center" vertical="center" shrinkToFit="1"/>
    </xf>
    <xf numFmtId="0" fontId="0" fillId="2" borderId="0" applyAlignment="1" pivotButton="0" quotePrefix="0" xfId="0">
      <alignment horizontal="center" vertical="center" shrinkToFit="1"/>
    </xf>
    <xf numFmtId="20" fontId="0" fillId="2" borderId="0" applyAlignment="1" pivotButton="0" quotePrefix="0" xfId="0">
      <alignment horizontal="center" vertical="center" shrinkToFit="1"/>
    </xf>
    <xf numFmtId="14" fontId="3" fillId="0" borderId="0" applyAlignment="1" pivotButton="0" quotePrefix="0" xfId="0">
      <alignment vertical="center" shrinkToFit="1"/>
    </xf>
    <xf numFmtId="0" fontId="0" fillId="2" borderId="9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horizontal="center" vertical="center" shrinkToFit="1"/>
    </xf>
    <xf numFmtId="0" fontId="0" fillId="3" borderId="9" applyAlignment="1" pivotButton="0" quotePrefix="0" xfId="0">
      <alignment horizontal="center" vertical="center" shrinkToFit="1"/>
    </xf>
    <xf numFmtId="0" fontId="0" fillId="4" borderId="9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right" vertical="center" shrinkToFit="1"/>
    </xf>
    <xf numFmtId="0" fontId="3" fillId="0" borderId="6" applyAlignment="1" pivotButton="0" quotePrefix="0" xfId="0">
      <alignment horizontal="center" vertical="center" shrinkToFit="1"/>
    </xf>
    <xf numFmtId="0" fontId="13" fillId="0" borderId="15" applyAlignment="1" pivotButton="0" quotePrefix="0" xfId="0">
      <alignment horizontal="center" vertical="center" shrinkToFit="1"/>
    </xf>
    <xf numFmtId="0" fontId="13" fillId="0" borderId="16" applyAlignment="1" pivotButton="0" quotePrefix="0" xfId="0">
      <alignment horizontal="center" vertical="center" shrinkToFit="1"/>
    </xf>
    <xf numFmtId="0" fontId="13" fillId="0" borderId="16" applyAlignment="1" pivotButton="0" quotePrefix="0" xfId="0">
      <alignment vertical="center" shrinkToFit="1"/>
    </xf>
    <xf numFmtId="0" fontId="13" fillId="0" borderId="2" applyAlignment="1" pivotButton="0" quotePrefix="0" xfId="0">
      <alignment horizontal="center" vertical="center" shrinkToFit="1"/>
    </xf>
    <xf numFmtId="0" fontId="0" fillId="2" borderId="19" applyAlignment="1" pivotButton="0" quotePrefix="0" xfId="0">
      <alignment horizontal="center" vertical="center" shrinkToFit="1"/>
    </xf>
    <xf numFmtId="0" fontId="9" fillId="2" borderId="9" applyAlignment="1" pivotButton="0" quotePrefix="0" xfId="0">
      <alignment horizontal="center" vertical="center" wrapText="1" shrinkToFit="1"/>
    </xf>
    <xf numFmtId="0" fontId="9" fillId="2" borderId="9" applyAlignment="1" pivotButton="0" quotePrefix="0" xfId="0">
      <alignment horizontal="center" vertical="center" shrinkToFit="1"/>
    </xf>
    <xf numFmtId="0" fontId="9" fillId="2" borderId="20" applyAlignment="1" pivotButton="0" quotePrefix="0" xfId="0">
      <alignment horizontal="center" vertical="center" shrinkToFit="1"/>
    </xf>
    <xf numFmtId="0" fontId="9" fillId="2" borderId="21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right" vertical="center" shrinkToFit="1"/>
    </xf>
    <xf numFmtId="0" fontId="9" fillId="4" borderId="9" applyAlignment="1" pivotButton="0" quotePrefix="0" xfId="0">
      <alignment horizontal="center" vertical="center" shrinkToFit="1"/>
    </xf>
    <xf numFmtId="0" fontId="9" fillId="0" borderId="20" applyAlignment="1" pivotButton="0" quotePrefix="0" xfId="0">
      <alignment horizontal="center" vertical="center" shrinkToFit="1"/>
    </xf>
    <xf numFmtId="0" fontId="0" fillId="2" borderId="33" applyAlignment="1" pivotButton="0" quotePrefix="0" xfId="0">
      <alignment horizontal="center" vertical="center" shrinkToFit="1"/>
    </xf>
    <xf numFmtId="0" fontId="9" fillId="2" borderId="19" applyAlignment="1" pivotButton="0" quotePrefix="0" xfId="0">
      <alignment horizontal="center" vertical="center" shrinkToFit="1"/>
    </xf>
    <xf numFmtId="0" fontId="9" fillId="2" borderId="33" applyAlignment="1" pivotButton="0" quotePrefix="0" xfId="0">
      <alignment horizontal="center" vertical="center" shrinkToFit="1"/>
    </xf>
    <xf numFmtId="0" fontId="19" fillId="4" borderId="9" applyAlignment="1" pivotButton="0" quotePrefix="0" xfId="0">
      <alignment horizontal="center" vertical="center" shrinkToFit="1"/>
    </xf>
    <xf numFmtId="0" fontId="17" fillId="4" borderId="9" applyAlignment="1" pivotButton="0" quotePrefix="0" xfId="0">
      <alignment horizontal="center" vertical="center" shrinkToFit="1"/>
    </xf>
    <xf numFmtId="0" fontId="20" fillId="4" borderId="9" applyAlignment="1" pivotButton="0" quotePrefix="0" xfId="0">
      <alignment horizontal="center" vertical="center" shrinkToFit="1"/>
    </xf>
    <xf numFmtId="0" fontId="0" fillId="0" borderId="2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left" vertical="center" shrinkToFit="1"/>
    </xf>
    <xf numFmtId="9" fontId="0" fillId="0" borderId="0" applyAlignment="1" pivotButton="0" quotePrefix="0" xfId="2">
      <alignment vertical="center" shrinkToFit="1"/>
    </xf>
    <xf numFmtId="0" fontId="0" fillId="0" borderId="8" applyAlignment="1" pivotButton="0" quotePrefix="0" xfId="0">
      <alignment vertical="center" shrinkToFit="1"/>
    </xf>
    <xf numFmtId="0" fontId="0" fillId="0" borderId="8" applyAlignment="1" pivotButton="0" quotePrefix="0" xfId="0">
      <alignment horizontal="center" vertical="center" shrinkToFit="1"/>
    </xf>
    <xf numFmtId="20" fontId="0" fillId="0" borderId="8" applyAlignment="1" pivotButton="0" quotePrefix="0" xfId="0">
      <alignment horizontal="center" vertical="center" shrinkToFit="1"/>
    </xf>
    <xf numFmtId="0" fontId="2" fillId="0" borderId="8" applyAlignment="1" pivotButton="0" quotePrefix="0" xfId="0">
      <alignment horizontal="center" vertical="center" shrinkToFit="1"/>
    </xf>
    <xf numFmtId="0" fontId="0" fillId="0" borderId="17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horizontal="center" vertical="center" shrinkToFit="1"/>
    </xf>
    <xf numFmtId="0" fontId="0" fillId="0" borderId="6" applyAlignment="1" pivotButton="0" quotePrefix="0" xfId="0">
      <alignment horizontal="center" vertical="center" shrinkToFit="1"/>
    </xf>
    <xf numFmtId="0" fontId="0" fillId="0" borderId="6" applyAlignment="1" pivotButton="0" quotePrefix="0" xfId="0">
      <alignment horizontal="center" vertical="center" wrapText="1" shrinkToFit="1"/>
    </xf>
    <xf numFmtId="20" fontId="0" fillId="0" borderId="6" applyAlignment="1" pivotButton="0" quotePrefix="0" xfId="0">
      <alignment horizontal="center" vertical="center" shrinkToFit="1"/>
    </xf>
    <xf numFmtId="0" fontId="2" fillId="0" borderId="6" applyAlignment="1" pivotButton="0" quotePrefix="0" xfId="0">
      <alignment horizontal="center" vertical="center" shrinkToFit="1"/>
    </xf>
    <xf numFmtId="0" fontId="0" fillId="0" borderId="10" applyAlignment="1" pivotButton="0" quotePrefix="0" xfId="0">
      <alignment horizontal="center" vertical="center" shrinkToFit="1"/>
    </xf>
    <xf numFmtId="0" fontId="8" fillId="0" borderId="9" applyAlignment="1" pivotButton="0" quotePrefix="0" xfId="0">
      <alignment horizontal="center" vertical="center" wrapText="1" shrinkToFit="1"/>
    </xf>
    <xf numFmtId="0" fontId="0" fillId="0" borderId="9" applyAlignment="1" pivotButton="0" quotePrefix="0" xfId="0">
      <alignment horizontal="center" vertical="center" wrapText="1" shrinkToFit="1"/>
    </xf>
    <xf numFmtId="0" fontId="8" fillId="0" borderId="6" applyAlignment="1" pivotButton="0" quotePrefix="0" xfId="0">
      <alignment horizontal="center" vertical="center" wrapText="1" shrinkToFit="1"/>
    </xf>
    <xf numFmtId="20" fontId="0" fillId="0" borderId="6" applyAlignment="1" pivotButton="0" quotePrefix="0" xfId="0">
      <alignment horizontal="center" vertical="center" wrapText="1" shrinkToFit="1"/>
    </xf>
    <xf numFmtId="32" fontId="0" fillId="0" borderId="6" applyAlignment="1" pivotButton="0" quotePrefix="0" xfId="0">
      <alignment horizontal="center" vertical="center" shrinkToFit="1"/>
    </xf>
    <xf numFmtId="0" fontId="10" fillId="0" borderId="6" applyAlignment="1" pivotButton="0" quotePrefix="0" xfId="0">
      <alignment horizontal="center" vertical="center" wrapText="1" shrinkToFit="1"/>
    </xf>
    <xf numFmtId="20" fontId="2" fillId="0" borderId="6" applyAlignment="1" pivotButton="0" quotePrefix="0" xfId="0">
      <alignment horizontal="center" vertical="center" shrinkToFit="1"/>
    </xf>
    <xf numFmtId="20" fontId="0" fillId="0" borderId="9" applyAlignment="1" pivotButton="0" quotePrefix="0" xfId="0">
      <alignment horizontal="center" vertical="center" shrinkToFit="1"/>
    </xf>
    <xf numFmtId="0" fontId="2" fillId="0" borderId="9" applyAlignment="1" pivotButton="0" quotePrefix="0" xfId="0">
      <alignment horizontal="center" vertical="center" shrinkToFit="1"/>
    </xf>
    <xf numFmtId="38" fontId="16" fillId="0" borderId="0" applyAlignment="1" pivotButton="0" quotePrefix="0" xfId="0">
      <alignment vertical="center" shrinkToFit="1"/>
    </xf>
    <xf numFmtId="3" fontId="0" fillId="0" borderId="6" applyAlignment="1" pivotButton="0" quotePrefix="0" xfId="0">
      <alignment horizontal="center" vertical="center" shrinkToFit="1"/>
    </xf>
    <xf numFmtId="3" fontId="0" fillId="0" borderId="9" applyAlignment="1" pivotButton="0" quotePrefix="0" xfId="0">
      <alignment horizontal="center" vertical="center" shrinkToFit="1"/>
    </xf>
    <xf numFmtId="3" fontId="2" fillId="2" borderId="9" applyAlignment="1" pivotButton="0" quotePrefix="0" xfId="0">
      <alignment horizontal="center" vertical="center" shrinkToFit="1"/>
    </xf>
    <xf numFmtId="0" fontId="2" fillId="2" borderId="9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vertical="center" wrapText="1" shrinkToFit="1"/>
    </xf>
    <xf numFmtId="3" fontId="0" fillId="0" borderId="0" applyAlignment="1" pivotButton="0" quotePrefix="0" xfId="0">
      <alignment vertical="center" shrinkToFit="1"/>
    </xf>
    <xf numFmtId="3" fontId="0" fillId="0" borderId="0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vertical="center" shrinkToFit="1"/>
    </xf>
    <xf numFmtId="3" fontId="2" fillId="2" borderId="6" applyAlignment="1" pivotButton="0" quotePrefix="0" xfId="0">
      <alignment horizontal="center" vertical="center" shrinkToFit="1"/>
    </xf>
    <xf numFmtId="0" fontId="2" fillId="2" borderId="6" applyAlignment="1" pivotButton="0" quotePrefix="0" xfId="0">
      <alignment horizontal="center" vertical="center" shrinkToFit="1"/>
    </xf>
    <xf numFmtId="0" fontId="0" fillId="0" borderId="46" applyAlignment="1" pivotButton="0" quotePrefix="0" xfId="0">
      <alignment vertical="center" shrinkToFit="1"/>
    </xf>
    <xf numFmtId="0" fontId="24" fillId="3" borderId="47" applyAlignment="1" pivotButton="0" quotePrefix="0" xfId="0">
      <alignment horizontal="center" vertical="center" shrinkToFit="1"/>
    </xf>
    <xf numFmtId="0" fontId="24" fillId="3" borderId="48" applyAlignment="1" pivotButton="0" quotePrefix="0" xfId="0">
      <alignment horizontal="center" vertical="center" shrinkToFit="1"/>
    </xf>
    <xf numFmtId="0" fontId="24" fillId="3" borderId="49" applyAlignment="1" pivotButton="0" quotePrefix="0" xfId="0">
      <alignment horizontal="center" vertical="center" shrinkToFit="1"/>
    </xf>
    <xf numFmtId="0" fontId="24" fillId="4" borderId="27" applyAlignment="1" pivotButton="0" quotePrefix="0" xfId="0">
      <alignment horizontal="center" vertical="center" shrinkToFit="1"/>
    </xf>
    <xf numFmtId="0" fontId="27" fillId="2" borderId="9" applyAlignment="1" pivotButton="0" quotePrefix="0" xfId="0">
      <alignment horizontal="center" vertical="center" shrinkToFit="1"/>
    </xf>
    <xf numFmtId="0" fontId="28" fillId="2" borderId="5" applyAlignment="1" pivotButton="0" quotePrefix="0" xfId="0">
      <alignment horizontal="center" vertical="center" wrapText="1" shrinkToFit="1"/>
    </xf>
    <xf numFmtId="0" fontId="9" fillId="2" borderId="53" applyAlignment="1" pivotButton="0" quotePrefix="0" xfId="0">
      <alignment horizontal="center" vertical="center" wrapText="1" shrinkToFit="1"/>
    </xf>
    <xf numFmtId="0" fontId="9" fillId="2" borderId="54" applyAlignment="1" pivotButton="0" quotePrefix="0" xfId="0">
      <alignment horizontal="center" vertical="center" wrapText="1" shrinkToFit="1"/>
    </xf>
    <xf numFmtId="0" fontId="24" fillId="4" borderId="55" applyAlignment="1" pivotButton="0" quotePrefix="0" xfId="0">
      <alignment horizontal="center" vertical="center" shrinkToFit="1"/>
    </xf>
    <xf numFmtId="0" fontId="29" fillId="2" borderId="6" applyAlignment="1" pivotButton="0" quotePrefix="0" xfId="0">
      <alignment horizontal="center" vertical="center" shrinkToFit="1"/>
    </xf>
    <xf numFmtId="0" fontId="28" fillId="2" borderId="9" applyAlignment="1" pivotButton="0" quotePrefix="0" xfId="0">
      <alignment horizontal="center" vertical="center" shrinkToFit="1"/>
    </xf>
    <xf numFmtId="0" fontId="9" fillId="2" borderId="56" applyAlignment="1" pivotButton="0" quotePrefix="0" xfId="0">
      <alignment horizontal="center" vertical="center" shrinkToFit="1"/>
    </xf>
    <xf numFmtId="0" fontId="29" fillId="2" borderId="9" applyAlignment="1" pivotButton="0" quotePrefix="0" xfId="0">
      <alignment horizontal="center" vertical="center" shrinkToFit="1"/>
    </xf>
    <xf numFmtId="0" fontId="24" fillId="4" borderId="57" applyAlignment="1" pivotButton="0" quotePrefix="0" xfId="0">
      <alignment horizontal="center" vertical="center" shrinkToFit="1"/>
    </xf>
    <xf numFmtId="0" fontId="28" fillId="2" borderId="58" applyAlignment="1" pivotButton="0" quotePrefix="0" xfId="0">
      <alignment horizontal="center" vertical="center" shrinkToFit="1"/>
    </xf>
    <xf numFmtId="0" fontId="9" fillId="2" borderId="59" applyAlignment="1" pivotButton="0" quotePrefix="0" xfId="0">
      <alignment horizontal="center" vertical="center" shrinkToFit="1"/>
    </xf>
    <xf numFmtId="0" fontId="9" fillId="2" borderId="60" applyAlignment="1" pivotButton="0" quotePrefix="0" xfId="0">
      <alignment horizontal="center" vertical="center" shrinkToFit="1"/>
    </xf>
    <xf numFmtId="0" fontId="26" fillId="4" borderId="27" applyAlignment="1" pivotButton="0" quotePrefix="0" xfId="0">
      <alignment horizontal="center" vertical="center" shrinkToFit="1"/>
    </xf>
    <xf numFmtId="0" fontId="28" fillId="2" borderId="5" applyAlignment="1" pivotButton="0" quotePrefix="0" xfId="0">
      <alignment horizontal="center" vertical="center" shrinkToFit="1"/>
    </xf>
    <xf numFmtId="0" fontId="33" fillId="2" borderId="53" applyAlignment="1" pivotButton="0" quotePrefix="0" xfId="0">
      <alignment horizontal="center" vertical="center" shrinkToFit="1"/>
    </xf>
    <xf numFmtId="0" fontId="9" fillId="2" borderId="54" applyAlignment="1" pivotButton="0" quotePrefix="0" xfId="0">
      <alignment horizontal="center" vertical="center" shrinkToFit="1"/>
    </xf>
    <xf numFmtId="0" fontId="26" fillId="4" borderId="61" applyAlignment="1" pivotButton="0" quotePrefix="0" xfId="0">
      <alignment horizontal="center" vertical="center" shrinkToFit="1"/>
    </xf>
    <xf numFmtId="0" fontId="29" fillId="2" borderId="58" applyAlignment="1" pivotButton="0" quotePrefix="0" xfId="0">
      <alignment horizontal="center" vertical="center" shrinkToFit="1"/>
    </xf>
    <xf numFmtId="0" fontId="29" fillId="2" borderId="5" applyAlignment="1" pivotButton="0" quotePrefix="0" xfId="0">
      <alignment horizontal="center" vertical="center" shrinkToFit="1"/>
    </xf>
    <xf numFmtId="0" fontId="28" fillId="2" borderId="62" applyAlignment="1" pivotButton="0" quotePrefix="0" xfId="0">
      <alignment horizontal="center" vertical="center" shrinkToFit="1"/>
    </xf>
    <xf numFmtId="0" fontId="9" fillId="2" borderId="53" applyAlignment="1" pivotButton="0" quotePrefix="0" xfId="0">
      <alignment horizontal="center" vertical="center" shrinkToFit="1"/>
    </xf>
    <xf numFmtId="0" fontId="26" fillId="4" borderId="55" applyAlignment="1" pivotButton="0" quotePrefix="0" xfId="0">
      <alignment horizontal="center" vertical="center" shrinkToFit="1"/>
    </xf>
    <xf numFmtId="0" fontId="34" fillId="2" borderId="9" applyAlignment="1" pivotButton="0" quotePrefix="0" xfId="0">
      <alignment horizontal="center" vertical="center" shrinkToFit="1"/>
    </xf>
    <xf numFmtId="0" fontId="28" fillId="2" borderId="6" applyAlignment="1" pivotButton="0" quotePrefix="0" xfId="0">
      <alignment horizontal="center" vertical="center" shrinkToFit="1"/>
    </xf>
    <xf numFmtId="0" fontId="9" fillId="2" borderId="32" applyAlignment="1" pivotButton="0" quotePrefix="0" xfId="0">
      <alignment horizontal="center" vertical="center" shrinkToFit="1"/>
    </xf>
    <xf numFmtId="0" fontId="9" fillId="2" borderId="63" applyAlignment="1" pivotButton="0" quotePrefix="0" xfId="0">
      <alignment horizontal="center" vertical="center" shrinkToFit="1"/>
    </xf>
    <xf numFmtId="0" fontId="24" fillId="0" borderId="15" applyAlignment="1" pivotButton="0" quotePrefix="0" xfId="0">
      <alignment horizontal="center" vertical="center" shrinkToFit="1"/>
    </xf>
    <xf numFmtId="0" fontId="24" fillId="0" borderId="16" applyAlignment="1" pivotButton="0" quotePrefix="0" xfId="0">
      <alignment horizontal="center" vertical="center" shrinkToFit="1"/>
    </xf>
    <xf numFmtId="0" fontId="24" fillId="0" borderId="64" applyAlignment="1" pivotButton="0" quotePrefix="0" xfId="0">
      <alignment horizontal="center" vertical="center" shrinkToFit="1"/>
    </xf>
    <xf numFmtId="38" fontId="5" fillId="2" borderId="2" applyAlignment="1" pivotButton="0" quotePrefix="0" xfId="3">
      <alignment horizontal="center" vertical="center" shrinkToFit="1"/>
    </xf>
    <xf numFmtId="0" fontId="36" fillId="0" borderId="8" applyAlignment="1" pivotButton="0" quotePrefix="0" xfId="0">
      <alignment vertical="center" shrinkToFit="1"/>
    </xf>
    <xf numFmtId="0" fontId="37" fillId="2" borderId="6" applyAlignment="1" pivotButton="0" quotePrefix="0" xfId="0">
      <alignment horizontal="center" vertical="center" shrinkToFit="1"/>
    </xf>
    <xf numFmtId="0" fontId="37" fillId="2" borderId="9" applyAlignment="1" pivotButton="0" quotePrefix="0" xfId="0">
      <alignment horizontal="center" vertical="center" shrinkToFit="1"/>
    </xf>
    <xf numFmtId="0" fontId="16" fillId="0" borderId="65" applyAlignment="1" pivotButton="0" quotePrefix="0" xfId="0">
      <alignment horizontal="center" vertical="center" shrinkToFit="1"/>
    </xf>
    <xf numFmtId="0" fontId="16" fillId="0" borderId="66" applyAlignment="1" pivotButton="0" quotePrefix="0" xfId="0">
      <alignment horizontal="center" vertical="center" shrinkToFit="1"/>
    </xf>
    <xf numFmtId="0" fontId="16" fillId="0" borderId="67" applyAlignment="1" pivotButton="0" quotePrefix="0" xfId="0">
      <alignment horizontal="center" vertical="center" shrinkToFit="1"/>
    </xf>
    <xf numFmtId="0" fontId="13" fillId="0" borderId="65" applyAlignment="1" pivotButton="0" quotePrefix="0" xfId="0">
      <alignment horizontal="center" vertical="center" shrinkToFit="1"/>
    </xf>
    <xf numFmtId="0" fontId="13" fillId="0" borderId="66" applyAlignment="1" pivotButton="0" quotePrefix="0" xfId="0">
      <alignment horizontal="center" vertical="center" shrinkToFit="1"/>
    </xf>
    <xf numFmtId="38" fontId="1" fillId="2" borderId="0" applyAlignment="1" pivotButton="0" quotePrefix="0" xfId="3">
      <alignment horizontal="center" vertical="center" shrinkToFit="1"/>
    </xf>
    <xf numFmtId="38" fontId="0" fillId="2" borderId="0" applyAlignment="1" pivotButton="0" quotePrefix="0" xfId="3">
      <alignment horizontal="center" vertical="center" shrinkToFit="1"/>
    </xf>
    <xf numFmtId="9" fontId="0" fillId="0" borderId="0" applyAlignment="1" pivotButton="0" quotePrefix="0" xfId="4">
      <alignment vertical="center" shrinkToFit="1"/>
    </xf>
    <xf numFmtId="0" fontId="0" fillId="5" borderId="6" applyAlignment="1" pivotButton="0" quotePrefix="0" xfId="0">
      <alignment horizontal="center" vertical="center" wrapText="1" shrinkToFit="1"/>
    </xf>
    <xf numFmtId="38" fontId="1" fillId="2" borderId="0" applyAlignment="1" pivotButton="0" quotePrefix="0" xfId="1">
      <alignment horizontal="center" vertical="center" shrinkToFit="1"/>
    </xf>
    <xf numFmtId="38" fontId="0" fillId="2" borderId="0" applyAlignment="1" pivotButton="0" quotePrefix="0" xfId="1">
      <alignment horizontal="center" vertical="center" shrinkToFit="1"/>
    </xf>
    <xf numFmtId="3" fontId="37" fillId="2" borderId="6" applyAlignment="1" pivotButton="0" quotePrefix="0" xfId="0">
      <alignment horizontal="center" vertical="center" shrinkToFit="1"/>
    </xf>
    <xf numFmtId="0" fontId="0" fillId="6" borderId="9" applyAlignment="1" pivotButton="0" quotePrefix="0" xfId="0">
      <alignment horizontal="center" vertical="center" wrapText="1" shrinkToFit="1"/>
    </xf>
    <xf numFmtId="20" fontId="2" fillId="7" borderId="6" applyAlignment="1" pivotButton="0" quotePrefix="0" xfId="0">
      <alignment horizontal="center" vertical="center" wrapText="1" shrinkToFit="1"/>
    </xf>
    <xf numFmtId="0" fontId="39" fillId="9" borderId="0" applyAlignment="1" pivotButton="0" quotePrefix="0" xfId="0">
      <alignment vertical="center"/>
    </xf>
    <xf numFmtId="0" fontId="0" fillId="9" borderId="0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40" fillId="10" borderId="0" applyAlignment="1" pivotButton="0" quotePrefix="0" xfId="0">
      <alignment vertical="center"/>
    </xf>
    <xf numFmtId="0" fontId="0" fillId="0" borderId="68" applyAlignment="1" pivotButton="0" quotePrefix="0" xfId="0">
      <alignment vertical="center" wrapText="1"/>
    </xf>
    <xf numFmtId="0" fontId="0" fillId="11" borderId="68" applyAlignment="1" pivotButton="0" quotePrefix="0" xfId="0">
      <alignment vertical="center" wrapText="1"/>
    </xf>
    <xf numFmtId="0" fontId="0" fillId="0" borderId="69" applyAlignment="1" pivotButton="0" quotePrefix="0" xfId="0">
      <alignment vertical="center" wrapText="1"/>
    </xf>
    <xf numFmtId="0" fontId="40" fillId="10" borderId="70" applyAlignment="1" pivotButton="0" quotePrefix="0" xfId="0">
      <alignment horizontal="center" vertical="center"/>
    </xf>
    <xf numFmtId="0" fontId="0" fillId="11" borderId="0" applyAlignment="1" pivotButton="0" quotePrefix="0" xfId="0">
      <alignment vertical="center"/>
    </xf>
    <xf numFmtId="0" fontId="40" fillId="10" borderId="0" applyAlignment="1" pivotButton="0" quotePrefix="0" xfId="0">
      <alignment horizontal="center" vertical="center"/>
    </xf>
    <xf numFmtId="0" fontId="0" fillId="11" borderId="75" applyAlignment="1" pivotButton="0" quotePrefix="0" xfId="0">
      <alignment vertical="center" wrapText="1"/>
    </xf>
    <xf numFmtId="0" fontId="42" fillId="12" borderId="71" applyAlignment="1" pivotButton="0" quotePrefix="0" xfId="0">
      <alignment vertical="center" wrapText="1"/>
    </xf>
    <xf numFmtId="0" fontId="42" fillId="12" borderId="73" applyAlignment="1" pivotButton="0" quotePrefix="0" xfId="0">
      <alignment vertical="center" wrapText="1"/>
    </xf>
    <xf numFmtId="0" fontId="43" fillId="13" borderId="73" applyAlignment="1" pivotButton="0" quotePrefix="0" xfId="0">
      <alignment vertical="center" wrapText="1"/>
    </xf>
    <xf numFmtId="0" fontId="40" fillId="10" borderId="77" applyAlignment="1" pivotButton="0" quotePrefix="0" xfId="0">
      <alignment horizontal="center" vertical="center"/>
    </xf>
    <xf numFmtId="56" fontId="42" fillId="12" borderId="78" applyAlignment="1" pivotButton="0" quotePrefix="0" xfId="0">
      <alignment vertical="center" wrapText="1"/>
    </xf>
    <xf numFmtId="56" fontId="42" fillId="12" borderId="79" applyAlignment="1" pivotButton="0" quotePrefix="0" xfId="0">
      <alignment vertical="center" wrapText="1"/>
    </xf>
    <xf numFmtId="56" fontId="0" fillId="0" borderId="0" applyAlignment="1" pivotButton="0" quotePrefix="0" xfId="0">
      <alignment vertical="center" wrapText="1"/>
    </xf>
    <xf numFmtId="56" fontId="43" fillId="13" borderId="80" applyAlignment="1" pivotButton="0" quotePrefix="0" xfId="0">
      <alignment vertical="center" wrapText="1"/>
    </xf>
    <xf numFmtId="0" fontId="45" fillId="12" borderId="71" applyAlignment="1" pivotButton="0" quotePrefix="0" xfId="0">
      <alignment horizontal="center" vertical="center" wrapText="1"/>
    </xf>
    <xf numFmtId="0" fontId="46" fillId="12" borderId="72" applyAlignment="1" pivotButton="0" quotePrefix="0" xfId="0">
      <alignment horizontal="center" vertical="center" wrapText="1"/>
    </xf>
    <xf numFmtId="0" fontId="45" fillId="12" borderId="73" applyAlignment="1" pivotButton="0" quotePrefix="0" xfId="0">
      <alignment horizontal="center" vertical="center" wrapText="1"/>
    </xf>
    <xf numFmtId="0" fontId="46" fillId="12" borderId="74" applyAlignment="1" pivotButton="0" quotePrefix="0" xfId="0">
      <alignment horizontal="center" vertical="center" wrapText="1"/>
    </xf>
    <xf numFmtId="0" fontId="47" fillId="13" borderId="74" applyAlignment="1" pivotButton="0" quotePrefix="0" xfId="0">
      <alignment horizontal="center" vertical="center" wrapText="1"/>
    </xf>
    <xf numFmtId="0" fontId="40" fillId="10" borderId="8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3" fillId="13" borderId="71" applyAlignment="1" pivotButton="0" quotePrefix="0" xfId="0">
      <alignment vertical="center" wrapText="1"/>
    </xf>
    <xf numFmtId="56" fontId="43" fillId="13" borderId="81" applyAlignment="1" pivotButton="0" quotePrefix="0" xfId="0">
      <alignment vertical="center" wrapText="1"/>
    </xf>
    <xf numFmtId="56" fontId="44" fillId="14" borderId="83" applyAlignment="1" pivotButton="0" quotePrefix="0" xfId="0">
      <alignment vertical="center" wrapText="1"/>
    </xf>
    <xf numFmtId="0" fontId="44" fillId="14" borderId="71" applyAlignment="1" pivotButton="0" quotePrefix="0" xfId="0">
      <alignment vertical="center" wrapText="1"/>
    </xf>
    <xf numFmtId="0" fontId="46" fillId="12" borderId="73" applyAlignment="1" pivotButton="0" quotePrefix="0" xfId="0">
      <alignment horizontal="center" vertical="center" wrapText="1"/>
    </xf>
    <xf numFmtId="0" fontId="47" fillId="13" borderId="73" applyAlignment="1" pivotButton="0" quotePrefix="0" xfId="0">
      <alignment horizontal="center" vertical="center" wrapText="1"/>
    </xf>
    <xf numFmtId="0" fontId="48" fillId="13" borderId="71" applyAlignment="1" pivotButton="0" quotePrefix="0" xfId="0">
      <alignment horizontal="center" vertical="center" wrapText="1"/>
    </xf>
    <xf numFmtId="0" fontId="51" fillId="16" borderId="71" applyAlignment="1" pivotButton="0" quotePrefix="0" xfId="0">
      <alignment vertical="center"/>
    </xf>
    <xf numFmtId="0" fontId="50" fillId="15" borderId="84" applyAlignment="1" pivotButton="0" quotePrefix="0" xfId="0">
      <alignment vertical="center"/>
    </xf>
    <xf numFmtId="0" fontId="51" fillId="16" borderId="85" applyAlignment="1" pivotButton="0" quotePrefix="0" xfId="0">
      <alignment vertical="center"/>
    </xf>
    <xf numFmtId="0" fontId="51" fillId="16" borderId="86" applyAlignment="1" pivotButton="0" quotePrefix="0" xfId="0">
      <alignment vertical="center"/>
    </xf>
    <xf numFmtId="0" fontId="40" fillId="10" borderId="87" applyAlignment="1" pivotButton="0" quotePrefix="0" xfId="0">
      <alignment horizontal="center" vertical="center"/>
    </xf>
    <xf numFmtId="0" fontId="50" fillId="15" borderId="73" applyAlignment="1" pivotButton="0" quotePrefix="0" xfId="0">
      <alignment vertical="center"/>
    </xf>
    <xf numFmtId="0" fontId="51" fillId="16" borderId="73" applyAlignment="1" pivotButton="0" quotePrefix="0" xfId="0">
      <alignment vertical="center"/>
    </xf>
    <xf numFmtId="0" fontId="35" fillId="9" borderId="0" applyAlignment="1" pivotButton="0" quotePrefix="0" xfId="0">
      <alignment vertical="center"/>
    </xf>
    <xf numFmtId="56" fontId="42" fillId="12" borderId="88" applyAlignment="1" pivotButton="0" quotePrefix="0" xfId="0">
      <alignment vertical="center"/>
    </xf>
    <xf numFmtId="0" fontId="0" fillId="0" borderId="89" applyAlignment="1" pivotButton="0" quotePrefix="0" xfId="0">
      <alignment vertical="center"/>
    </xf>
    <xf numFmtId="56" fontId="43" fillId="13" borderId="90" applyAlignment="1" pivotButton="0" quotePrefix="0" xfId="0">
      <alignment vertical="center"/>
    </xf>
    <xf numFmtId="0" fontId="0" fillId="0" borderId="91" applyAlignment="1" pivotButton="0" quotePrefix="0" xfId="0">
      <alignment vertical="center"/>
    </xf>
    <xf numFmtId="56" fontId="44" fillId="14" borderId="92" applyAlignment="1" pivotButton="0" quotePrefix="0" xfId="0">
      <alignment vertical="center"/>
    </xf>
    <xf numFmtId="0" fontId="0" fillId="0" borderId="93" applyAlignment="1" pivotButton="0" quotePrefix="0" xfId="0">
      <alignment vertical="center"/>
    </xf>
    <xf numFmtId="0" fontId="52" fillId="12" borderId="73" applyAlignment="1" pivotButton="0" quotePrefix="0" xfId="0">
      <alignment vertical="center" wrapText="1"/>
    </xf>
    <xf numFmtId="0" fontId="52" fillId="12" borderId="71" applyAlignment="1" pivotButton="0" quotePrefix="0" xfId="0">
      <alignment vertical="center" wrapText="1"/>
    </xf>
    <xf numFmtId="0" fontId="53" fillId="13" borderId="73" applyAlignment="1" pivotButton="0" quotePrefix="0" xfId="0">
      <alignment vertical="center" wrapText="1"/>
    </xf>
    <xf numFmtId="0" fontId="53" fillId="13" borderId="71" applyAlignment="1" pivotButton="0" quotePrefix="0" xfId="0">
      <alignment vertical="center" wrapText="1"/>
    </xf>
    <xf numFmtId="0" fontId="54" fillId="14" borderId="71" applyAlignment="1" pivotButton="0" quotePrefix="0" xfId="0">
      <alignment vertical="center" wrapText="1"/>
    </xf>
    <xf numFmtId="0" fontId="47" fillId="13" borderId="72" applyAlignment="1" pivotButton="0" quotePrefix="0" xfId="0">
      <alignment horizontal="center" vertical="center" wrapText="1"/>
    </xf>
    <xf numFmtId="32" fontId="2" fillId="7" borderId="6" applyAlignment="1" pivotButton="0" quotePrefix="0" xfId="0">
      <alignment horizontal="center" vertical="center" shrinkToFit="1"/>
    </xf>
    <xf numFmtId="0" fontId="58" fillId="0" borderId="0" applyAlignment="1" pivotButton="0" quotePrefix="0" xfId="0">
      <alignment vertical="center"/>
    </xf>
    <xf numFmtId="0" fontId="59" fillId="0" borderId="0" applyAlignment="1" pivotButton="0" quotePrefix="0" xfId="0">
      <alignment vertical="center"/>
    </xf>
    <xf numFmtId="0" fontId="40" fillId="17" borderId="0" applyAlignment="1" pivotButton="0" quotePrefix="0" xfId="0">
      <alignment vertical="center"/>
    </xf>
    <xf numFmtId="0" fontId="40" fillId="18" borderId="0" applyAlignment="1" pivotButton="0" quotePrefix="0" xfId="0">
      <alignment vertical="center"/>
    </xf>
    <xf numFmtId="0" fontId="40" fillId="19" borderId="0" applyAlignment="1" pivotButton="0" quotePrefix="0" xfId="0">
      <alignment vertical="center"/>
    </xf>
    <xf numFmtId="0" fontId="40" fillId="2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0" fontId="40" fillId="21" borderId="0" applyAlignment="1" pivotButton="0" quotePrefix="0" xfId="0">
      <alignment vertical="center"/>
    </xf>
    <xf numFmtId="0" fontId="16" fillId="0" borderId="19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left" vertical="center" shrinkToFit="1"/>
    </xf>
    <xf numFmtId="38" fontId="16" fillId="0" borderId="0" applyAlignment="1" pivotButton="0" quotePrefix="0" xfId="1">
      <alignment horizontal="center" vertical="center" shrinkToFit="1"/>
    </xf>
    <xf numFmtId="0" fontId="60" fillId="0" borderId="71" applyAlignment="1" pivotButton="0" quotePrefix="0" xfId="0">
      <alignment vertical="center" wrapText="1"/>
    </xf>
    <xf numFmtId="0" fontId="61" fillId="0" borderId="71" applyAlignment="1" pivotButton="0" quotePrefix="0" xfId="0">
      <alignment vertical="center" wrapText="1"/>
    </xf>
    <xf numFmtId="56" fontId="60" fillId="0" borderId="76" applyAlignment="1" pivotButton="0" quotePrefix="0" xfId="0">
      <alignment vertical="center" wrapText="1"/>
    </xf>
    <xf numFmtId="0" fontId="62" fillId="0" borderId="71" applyAlignment="1" pivotButton="0" quotePrefix="0" xfId="0">
      <alignment horizontal="center" vertical="center" wrapText="1"/>
    </xf>
    <xf numFmtId="0" fontId="62" fillId="0" borderId="72" applyAlignment="1" pivotButton="0" quotePrefix="0" xfId="0">
      <alignment horizontal="center" vertical="center" wrapText="1"/>
    </xf>
    <xf numFmtId="56" fontId="60" fillId="0" borderId="90" applyAlignment="1" pivotButton="0" quotePrefix="0" xfId="0">
      <alignment vertical="center"/>
    </xf>
    <xf numFmtId="0" fontId="60" fillId="0" borderId="91" applyAlignment="1" pivotButton="0" quotePrefix="0" xfId="0">
      <alignment vertical="center"/>
    </xf>
    <xf numFmtId="20" fontId="22" fillId="0" borderId="6" applyAlignment="1" pivotButton="0" quotePrefix="0" xfId="0">
      <alignment horizontal="center" vertical="center" wrapText="1" shrinkToFit="1"/>
    </xf>
    <xf numFmtId="20" fontId="2" fillId="7" borderId="6" applyAlignment="1" pivotButton="0" quotePrefix="0" xfId="0">
      <alignment horizontal="center" vertical="center" shrinkToFit="1"/>
    </xf>
    <xf numFmtId="20" fontId="22" fillId="0" borderId="6" applyAlignment="1" pivotButton="0" quotePrefix="0" xfId="0">
      <alignment horizontal="center" vertical="center" shrinkToFit="1"/>
    </xf>
    <xf numFmtId="56" fontId="44" fillId="14" borderId="0" applyAlignment="1" pivotButton="0" quotePrefix="0" xfId="0">
      <alignment vertical="center" wrapText="1"/>
    </xf>
    <xf numFmtId="0" fontId="44" fillId="14" borderId="0" applyAlignment="1" pivotButton="0" quotePrefix="0" xfId="0">
      <alignment vertical="center" wrapText="1"/>
    </xf>
    <xf numFmtId="0" fontId="54" fillId="14" borderId="0" applyAlignment="1" pivotButton="0" quotePrefix="0" xfId="0">
      <alignment vertical="center" wrapText="1"/>
    </xf>
    <xf numFmtId="0" fontId="40" fillId="10" borderId="94" applyAlignment="1" pivotButton="0" quotePrefix="0" xfId="0">
      <alignment horizontal="center" vertical="center"/>
    </xf>
    <xf numFmtId="0" fontId="40" fillId="10" borderId="95" applyAlignment="1" pivotButton="0" quotePrefix="0" xfId="0">
      <alignment horizontal="center" vertical="center"/>
    </xf>
    <xf numFmtId="0" fontId="40" fillId="10" borderId="96" applyAlignment="1" pivotButton="0" quotePrefix="0" xfId="0">
      <alignment horizontal="center" vertical="center"/>
    </xf>
    <xf numFmtId="0" fontId="40" fillId="10" borderId="97" applyAlignment="1" pivotButton="0" quotePrefix="0" xfId="0">
      <alignment horizontal="center" vertical="center"/>
    </xf>
    <xf numFmtId="56" fontId="45" fillId="12" borderId="98" applyAlignment="1" pivotButton="0" quotePrefix="0" xfId="0">
      <alignment horizontal="center" vertical="center" wrapText="1"/>
    </xf>
    <xf numFmtId="0" fontId="55" fillId="12" borderId="99" applyAlignment="1" pivotButton="0" quotePrefix="0" xfId="0">
      <alignment horizontal="center" vertical="center" wrapText="1"/>
    </xf>
    <xf numFmtId="56" fontId="46" fillId="12" borderId="98" applyAlignment="1" pivotButton="0" quotePrefix="0" xfId="0">
      <alignment horizontal="center" vertical="center" wrapText="1"/>
    </xf>
    <xf numFmtId="56" fontId="45" fillId="12" borderId="100" applyAlignment="1" pivotButton="0" quotePrefix="0" xfId="0">
      <alignment horizontal="center" vertical="center" wrapText="1"/>
    </xf>
    <xf numFmtId="0" fontId="55" fillId="12" borderId="101" applyAlignment="1" pivotButton="0" quotePrefix="0" xfId="0">
      <alignment horizontal="center" vertical="center" wrapText="1"/>
    </xf>
    <xf numFmtId="56" fontId="41" fillId="0" borderId="102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40" applyAlignment="1" pivotButton="0" quotePrefix="0" xfId="0">
      <alignment horizontal="center" vertical="center" wrapText="1"/>
    </xf>
    <xf numFmtId="56" fontId="47" fillId="13" borderId="98" applyAlignment="1" pivotButton="0" quotePrefix="0" xfId="0">
      <alignment horizontal="center" vertical="center" wrapText="1"/>
    </xf>
    <xf numFmtId="0" fontId="56" fillId="13" borderId="99" applyAlignment="1" pivotButton="0" quotePrefix="0" xfId="0">
      <alignment horizontal="center" vertical="center" wrapText="1"/>
    </xf>
    <xf numFmtId="56" fontId="48" fillId="13" borderId="100" applyAlignment="1" pivotButton="0" quotePrefix="0" xfId="0">
      <alignment horizontal="center" vertical="center" wrapText="1"/>
    </xf>
    <xf numFmtId="0" fontId="56" fillId="13" borderId="101" applyAlignment="1" pivotButton="0" quotePrefix="0" xfId="0">
      <alignment horizontal="center" vertical="center" wrapText="1"/>
    </xf>
    <xf numFmtId="56" fontId="62" fillId="0" borderId="100" applyAlignment="1" pivotButton="0" quotePrefix="0" xfId="0">
      <alignment horizontal="center" vertical="center" wrapText="1"/>
    </xf>
    <xf numFmtId="0" fontId="63" fillId="0" borderId="101" applyAlignment="1" pivotButton="0" quotePrefix="0" xfId="0">
      <alignment horizontal="center" vertical="center" wrapText="1"/>
    </xf>
    <xf numFmtId="56" fontId="6" fillId="0" borderId="102" applyAlignment="1" pivotButton="0" quotePrefix="0" xfId="0">
      <alignment horizontal="center" vertical="center" wrapText="1"/>
    </xf>
    <xf numFmtId="0" fontId="64" fillId="14" borderId="71" applyAlignment="1" pivotButton="0" quotePrefix="0" xfId="0">
      <alignment horizontal="center" vertical="center"/>
    </xf>
    <xf numFmtId="0" fontId="64" fillId="14" borderId="71" applyAlignment="1" pivotButton="0" quotePrefix="0" xfId="0">
      <alignment vertical="center"/>
    </xf>
    <xf numFmtId="0" fontId="49" fillId="14" borderId="104" applyAlignment="1" pivotButton="0" quotePrefix="0" xfId="0">
      <alignment horizontal="center" vertical="center" wrapText="1"/>
    </xf>
    <xf numFmtId="0" fontId="57" fillId="14" borderId="105" applyAlignment="1" pivotButton="0" quotePrefix="0" xfId="0">
      <alignment horizontal="center" vertical="center" wrapText="1"/>
    </xf>
    <xf numFmtId="0" fontId="57" fillId="14" borderId="101" applyAlignment="1" pivotButton="0" quotePrefix="0" xfId="0">
      <alignment horizontal="center" vertical="center"/>
    </xf>
    <xf numFmtId="0" fontId="64" fillId="14" borderId="106" applyAlignment="1" pivotButton="0" quotePrefix="0" xfId="0">
      <alignment horizontal="center" vertical="center"/>
    </xf>
    <xf numFmtId="0" fontId="64" fillId="14" borderId="106" applyAlignment="1" pivotButton="0" quotePrefix="0" xfId="0">
      <alignment vertical="center"/>
    </xf>
    <xf numFmtId="0" fontId="57" fillId="14" borderId="107" applyAlignment="1" pivotButton="0" quotePrefix="0" xfId="0">
      <alignment horizontal="center" vertical="center"/>
    </xf>
    <xf numFmtId="56" fontId="41" fillId="0" borderId="103" applyAlignment="1" pivotButton="0" quotePrefix="0" xfId="0">
      <alignment horizontal="center" vertical="center" wrapText="1"/>
    </xf>
    <xf numFmtId="56" fontId="49" fillId="14" borderId="108" applyAlignment="1" pivotButton="0" quotePrefix="0" xfId="0">
      <alignment horizontal="center" vertical="center" wrapText="1"/>
    </xf>
    <xf numFmtId="56" fontId="64" fillId="14" borderId="100" applyAlignment="1" pivotButton="0" quotePrefix="0" xfId="0">
      <alignment horizontal="center" vertical="center"/>
    </xf>
    <xf numFmtId="56" fontId="64" fillId="14" borderId="109" applyAlignment="1" pivotButton="0" quotePrefix="0" xfId="0">
      <alignment horizontal="center" vertical="center"/>
    </xf>
    <xf numFmtId="20" fontId="2" fillId="0" borderId="6" applyAlignment="1" pivotButton="0" quotePrefix="0" xfId="0">
      <alignment horizontal="center" vertical="center" wrapText="1" shrinkToFit="1"/>
    </xf>
    <xf numFmtId="0" fontId="0" fillId="6" borderId="6" applyAlignment="1" pivotButton="0" quotePrefix="0" xfId="0">
      <alignment horizontal="center" vertical="center" wrapText="1" shrinkToFit="1"/>
    </xf>
    <xf numFmtId="32" fontId="0" fillId="0" borderId="6" applyAlignment="1" pivotButton="0" quotePrefix="0" xfId="0">
      <alignment horizontal="center" vertical="center" wrapText="1" shrinkToFit="1"/>
    </xf>
    <xf numFmtId="0" fontId="65" fillId="0" borderId="6" applyAlignment="1" pivotButton="0" quotePrefix="0" xfId="0">
      <alignment horizontal="center" vertical="center" wrapText="1" shrinkToFit="1"/>
    </xf>
    <xf numFmtId="0" fontId="10" fillId="5" borderId="6" applyAlignment="1" pivotButton="0" quotePrefix="0" xfId="0">
      <alignment horizontal="center" vertical="center" wrapText="1" shrinkToFit="1"/>
    </xf>
    <xf numFmtId="0" fontId="10" fillId="6" borderId="6" applyAlignment="1" pivotButton="0" quotePrefix="0" xfId="0">
      <alignment horizontal="center" vertical="center" wrapText="1" shrinkToFit="1"/>
    </xf>
    <xf numFmtId="32" fontId="22" fillId="0" borderId="6" applyAlignment="1" pivotButton="0" quotePrefix="0" xfId="0">
      <alignment horizontal="center" vertical="center" shrinkToFit="1"/>
    </xf>
    <xf numFmtId="0" fontId="0" fillId="22" borderId="6" applyAlignment="1" pivotButton="0" quotePrefix="0" xfId="0">
      <alignment horizontal="center" vertical="center" wrapText="1" shrinkToFit="1"/>
    </xf>
    <xf numFmtId="0" fontId="3" fillId="0" borderId="19" applyAlignment="1" pivotButton="0" quotePrefix="0" xfId="0">
      <alignment vertical="center" shrinkToFit="1"/>
    </xf>
    <xf numFmtId="20" fontId="0" fillId="0" borderId="9" applyAlignment="1" pivotButton="0" quotePrefix="0" xfId="0">
      <alignment horizontal="center" vertical="center" wrapText="1" shrinkToFit="1"/>
    </xf>
    <xf numFmtId="0" fontId="22" fillId="5" borderId="6" applyAlignment="1" pivotButton="0" quotePrefix="0" xfId="0">
      <alignment horizontal="center" vertical="center" wrapText="1" shrinkToFit="1"/>
    </xf>
    <xf numFmtId="0" fontId="37" fillId="0" borderId="8" applyAlignment="1" pivotButton="0" quotePrefix="0" xfId="0">
      <alignment vertical="center" shrinkToFit="1"/>
    </xf>
    <xf numFmtId="0" fontId="0" fillId="3" borderId="6" applyAlignment="1" pivotButton="0" quotePrefix="0" xfId="0">
      <alignment horizontal="center" vertical="center" wrapText="1" shrinkToFit="1"/>
    </xf>
    <xf numFmtId="0" fontId="22" fillId="0" borderId="6" applyAlignment="1" pivotButton="0" quotePrefix="0" xfId="0">
      <alignment horizontal="center" vertical="center" wrapText="1" shrinkToFit="1"/>
    </xf>
    <xf numFmtId="0" fontId="0" fillId="23" borderId="6" applyAlignment="1" pivotButton="0" quotePrefix="0" xfId="0">
      <alignment horizontal="center" vertical="center" wrapText="1" shrinkToFit="1"/>
    </xf>
    <xf numFmtId="0" fontId="2" fillId="7" borderId="9" applyAlignment="1" pivotButton="0" quotePrefix="0" xfId="0">
      <alignment horizontal="center" vertical="center" shrinkToFit="1"/>
    </xf>
    <xf numFmtId="0" fontId="10" fillId="23" borderId="6" applyAlignment="1" pivotButton="0" quotePrefix="0" xfId="0">
      <alignment horizontal="center" vertical="center" wrapText="1" shrinkToFit="1"/>
    </xf>
    <xf numFmtId="3" fontId="2" fillId="7" borderId="9" applyAlignment="1" pivotButton="0" quotePrefix="0" xfId="0">
      <alignment horizontal="center" vertical="center" shrinkToFit="1"/>
    </xf>
    <xf numFmtId="14" fontId="0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 shrinkToFit="1"/>
    </xf>
    <xf numFmtId="32" fontId="2" fillId="7" borderId="6" applyAlignment="1" pivotButton="0" quotePrefix="0" xfId="0">
      <alignment horizontal="center" vertical="center" wrapText="1" shrinkToFit="1"/>
    </xf>
    <xf numFmtId="0" fontId="67" fillId="0" borderId="6" applyAlignment="1" pivotButton="0" quotePrefix="0" xfId="0">
      <alignment horizontal="center" vertical="center" wrapText="1" shrinkToFit="1"/>
    </xf>
    <xf numFmtId="0" fontId="37" fillId="0" borderId="6" applyAlignment="1" pivotButton="0" quotePrefix="0" xfId="0">
      <alignment horizontal="center" vertical="center" shrinkToFit="1"/>
    </xf>
    <xf numFmtId="0" fontId="37" fillId="0" borderId="9" applyAlignment="1" pivotButton="0" quotePrefix="0" xfId="0">
      <alignment horizontal="center" vertical="center" shrinkToFit="1"/>
    </xf>
    <xf numFmtId="0" fontId="22" fillId="0" borderId="8" applyAlignment="1" pivotButton="0" quotePrefix="0" xfId="0">
      <alignment horizontal="center" vertical="center" shrinkToFit="1"/>
    </xf>
    <xf numFmtId="0" fontId="22" fillId="2" borderId="6" applyAlignment="1" pivotButton="0" quotePrefix="0" xfId="0">
      <alignment horizontal="center" vertical="center" shrinkToFit="1"/>
    </xf>
    <xf numFmtId="0" fontId="22" fillId="2" borderId="9" applyAlignment="1" pivotButton="0" quotePrefix="0" xfId="0">
      <alignment horizontal="center" vertical="center" shrinkToFit="1"/>
    </xf>
    <xf numFmtId="0" fontId="0" fillId="25" borderId="6" applyAlignment="1" pivotButton="0" quotePrefix="0" xfId="0">
      <alignment horizontal="center" vertical="center" shrinkToFit="1"/>
    </xf>
    <xf numFmtId="0" fontId="8" fillId="6" borderId="6" applyAlignment="1" pivotButton="0" quotePrefix="0" xfId="0">
      <alignment horizontal="center" vertical="center" wrapText="1" shrinkToFit="1"/>
    </xf>
    <xf numFmtId="0" fontId="0" fillId="26" borderId="6" applyAlignment="1" pivotButton="0" quotePrefix="0" xfId="0">
      <alignment horizontal="center" vertical="center" shrinkToFit="1"/>
    </xf>
    <xf numFmtId="0" fontId="0" fillId="24" borderId="6" applyAlignment="1" pivotButton="0" quotePrefix="0" xfId="0">
      <alignment horizontal="center" vertical="center" shrinkToFit="1"/>
    </xf>
    <xf numFmtId="0" fontId="0" fillId="26" borderId="6" applyAlignment="1" pivotButton="0" quotePrefix="0" xfId="0">
      <alignment horizontal="center" vertical="center" wrapText="1" shrinkToFit="1"/>
    </xf>
    <xf numFmtId="0" fontId="69" fillId="0" borderId="0" applyAlignment="1" pivotButton="0" quotePrefix="0" xfId="0">
      <alignment horizontal="center" vertical="center" shrinkToFit="1"/>
    </xf>
    <xf numFmtId="0" fontId="70" fillId="0" borderId="0" applyAlignment="1" pivotButton="0" quotePrefix="0" xfId="0">
      <alignment horizontal="center" vertical="center" shrinkToFit="1"/>
    </xf>
    <xf numFmtId="3" fontId="2" fillId="7" borderId="6" applyAlignment="1" pivotButton="0" quotePrefix="0" xfId="0">
      <alignment horizontal="center" vertical="center" shrinkToFit="1"/>
    </xf>
    <xf numFmtId="3" fontId="2" fillId="2" borderId="9" applyAlignment="1" pivotButton="0" quotePrefix="0" xfId="0">
      <alignment horizontal="center" vertical="center" wrapText="1" shrinkToFit="1"/>
    </xf>
    <xf numFmtId="0" fontId="2" fillId="7" borderId="6" applyAlignment="1" pivotButton="0" quotePrefix="0" xfId="0">
      <alignment horizontal="center" vertical="center" shrinkToFit="1"/>
    </xf>
    <xf numFmtId="0" fontId="9" fillId="0" borderId="6" applyAlignment="1" pivotButton="0" quotePrefix="0" xfId="0">
      <alignment horizontal="center" vertical="center" wrapText="1" shrinkToFit="1"/>
    </xf>
    <xf numFmtId="3" fontId="37" fillId="0" borderId="9" applyAlignment="1" pivotButton="0" quotePrefix="0" xfId="0">
      <alignment horizontal="center" vertical="center" wrapText="1" shrinkToFit="1"/>
    </xf>
    <xf numFmtId="0" fontId="73" fillId="0" borderId="0" applyAlignment="1" pivotButton="0" quotePrefix="0" xfId="0">
      <alignment horizontal="center" vertical="center" shrinkToFit="1"/>
    </xf>
    <xf numFmtId="0" fontId="70" fillId="0" borderId="8" applyAlignment="1" pivotButton="0" quotePrefix="0" xfId="0">
      <alignment horizontal="center" vertical="center" shrinkToFit="1"/>
    </xf>
    <xf numFmtId="3" fontId="70" fillId="2" borderId="9" applyAlignment="1" pivotButton="0" quotePrefix="0" xfId="0">
      <alignment horizontal="center" vertical="center" shrinkToFit="1"/>
    </xf>
    <xf numFmtId="3" fontId="70" fillId="2" borderId="6" applyAlignment="1" pivotButton="0" quotePrefix="0" xfId="0">
      <alignment horizontal="center" vertical="center" shrinkToFit="1"/>
    </xf>
    <xf numFmtId="0" fontId="70" fillId="0" borderId="6" applyAlignment="1" pivotButton="0" quotePrefix="0" xfId="0">
      <alignment horizontal="center" vertical="center" shrinkToFit="1"/>
    </xf>
    <xf numFmtId="0" fontId="70" fillId="0" borderId="9" applyAlignment="1" pivotButton="0" quotePrefix="0" xfId="0">
      <alignment horizontal="center" vertical="center" shrinkToFit="1"/>
    </xf>
    <xf numFmtId="0" fontId="70" fillId="2" borderId="6" applyAlignment="1" pivotButton="0" quotePrefix="0" xfId="0">
      <alignment horizontal="center" vertical="center" shrinkToFit="1"/>
    </xf>
    <xf numFmtId="0" fontId="74" fillId="2" borderId="6" applyAlignment="1" pivotButton="0" quotePrefix="0" xfId="0">
      <alignment horizontal="center" vertical="center" shrinkToFit="1"/>
    </xf>
    <xf numFmtId="0" fontId="74" fillId="2" borderId="9" applyAlignment="1" pivotButton="0" quotePrefix="0" xfId="0">
      <alignment horizontal="center" vertical="center" shrinkToFit="1"/>
    </xf>
    <xf numFmtId="0" fontId="70" fillId="2" borderId="9" applyAlignment="1" pivotButton="0" quotePrefix="0" xfId="0">
      <alignment horizontal="center" vertical="center" shrinkToFit="1"/>
    </xf>
    <xf numFmtId="0" fontId="2" fillId="7" borderId="9" applyAlignment="1" pivotButton="0" quotePrefix="0" xfId="0">
      <alignment horizontal="center" vertical="center" wrapText="1" shrinkToFit="1"/>
    </xf>
    <xf numFmtId="0" fontId="75" fillId="2" borderId="6" applyAlignment="1" pivotButton="0" quotePrefix="0" xfId="0">
      <alignment horizontal="center" vertical="center" shrinkToFit="1"/>
    </xf>
    <xf numFmtId="0" fontId="75" fillId="2" borderId="9" applyAlignment="1" pivotButton="0" quotePrefix="0" xfId="0">
      <alignment horizontal="center" vertical="center" shrinkToFit="1"/>
    </xf>
    <xf numFmtId="0" fontId="77" fillId="0" borderId="0" applyAlignment="1" pivotButton="0" quotePrefix="0" xfId="0">
      <alignment horizontal="center" vertical="center" shrinkToFit="1"/>
    </xf>
    <xf numFmtId="3" fontId="75" fillId="2" borderId="9" applyAlignment="1" pivotButton="0" quotePrefix="0" xfId="0">
      <alignment horizontal="center" vertical="center" shrinkToFit="1"/>
    </xf>
    <xf numFmtId="3" fontId="75" fillId="2" borderId="6" applyAlignment="1" pivotButton="0" quotePrefix="0" xfId="0">
      <alignment horizontal="center" vertical="center" shrinkToFit="1"/>
    </xf>
    <xf numFmtId="0" fontId="0" fillId="5" borderId="9" applyAlignment="1" pivotButton="0" quotePrefix="0" xfId="0">
      <alignment horizontal="center" vertical="center" wrapText="1" shrinkToFit="1"/>
    </xf>
    <xf numFmtId="0" fontId="0" fillId="23" borderId="9" applyAlignment="1" pivotButton="0" quotePrefix="0" xfId="0">
      <alignment horizontal="center" vertical="center" wrapText="1" shrinkToFit="1"/>
    </xf>
    <xf numFmtId="20" fontId="60" fillId="0" borderId="6" applyAlignment="1" pivotButton="0" quotePrefix="0" xfId="0">
      <alignment horizontal="center" vertical="center" wrapText="1" shrinkToFit="1"/>
    </xf>
    <xf numFmtId="32" fontId="60" fillId="0" borderId="6" applyAlignment="1" pivotButton="0" quotePrefix="0" xfId="0">
      <alignment horizontal="center" vertical="center" wrapText="1" shrinkToFit="1"/>
    </xf>
    <xf numFmtId="32" fontId="60" fillId="0" borderId="6" applyAlignment="1" pivotButton="0" quotePrefix="0" xfId="0">
      <alignment horizontal="center" vertical="center" shrinkToFit="1"/>
    </xf>
    <xf numFmtId="20" fontId="60" fillId="0" borderId="6" applyAlignment="1" pivotButton="0" quotePrefix="0" xfId="0">
      <alignment horizontal="center" vertical="center" shrinkToFit="1"/>
    </xf>
    <xf numFmtId="20" fontId="78" fillId="0" borderId="6" applyAlignment="1" pivotButton="0" quotePrefix="0" xfId="0">
      <alignment horizontal="center" vertical="center" wrapText="1" shrinkToFit="1"/>
    </xf>
    <xf numFmtId="0" fontId="79" fillId="2" borderId="9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vertical="center"/>
    </xf>
    <xf numFmtId="32" fontId="22" fillId="0" borderId="6" applyAlignment="1" pivotButton="0" quotePrefix="0" xfId="0">
      <alignment horizontal="center" vertical="center" wrapText="1" shrinkToFit="1"/>
    </xf>
    <xf numFmtId="0" fontId="3" fillId="0" borderId="9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wrapText="1" shrinkToFit="1"/>
    </xf>
    <xf numFmtId="0" fontId="66" fillId="0" borderId="8" applyAlignment="1" pivotButton="0" quotePrefix="0" xfId="0">
      <alignment vertical="center" wrapText="1" shrinkToFit="1"/>
    </xf>
    <xf numFmtId="0" fontId="0" fillId="0" borderId="0" applyAlignment="1" pivotButton="0" quotePrefix="0" xfId="0">
      <alignment horizontal="center" vertical="center"/>
    </xf>
    <xf numFmtId="0" fontId="81" fillId="2" borderId="6" applyAlignment="1" pivotButton="0" quotePrefix="0" xfId="0">
      <alignment horizontal="center" vertical="center" shrinkToFit="1"/>
    </xf>
    <xf numFmtId="0" fontId="81" fillId="2" borderId="9" applyAlignment="1" pivotButton="0" quotePrefix="0" xfId="0">
      <alignment horizontal="center" vertical="center" shrinkToFit="1"/>
    </xf>
    <xf numFmtId="0" fontId="82" fillId="2" borderId="6" applyAlignment="1" pivotButton="0" quotePrefix="0" xfId="0">
      <alignment horizontal="center" vertical="center" shrinkToFit="1"/>
    </xf>
    <xf numFmtId="0" fontId="82" fillId="2" borderId="9" applyAlignment="1" pivotButton="0" quotePrefix="0" xfId="0">
      <alignment horizontal="center" vertical="center" shrinkToFit="1"/>
    </xf>
    <xf numFmtId="0" fontId="75" fillId="0" borderId="6" applyAlignment="1" pivotButton="0" quotePrefix="0" xfId="0">
      <alignment horizontal="center" vertical="center" shrinkToFit="1"/>
    </xf>
    <xf numFmtId="3" fontId="81" fillId="2" borderId="6" applyAlignment="1" pivotButton="0" quotePrefix="0" xfId="0">
      <alignment horizontal="center" vertical="center" shrinkToFit="1"/>
    </xf>
    <xf numFmtId="3" fontId="82" fillId="2" borderId="9" applyAlignment="1" pivotButton="0" quotePrefix="0" xfId="0">
      <alignment horizontal="center" vertical="center" shrinkToFit="1"/>
    </xf>
    <xf numFmtId="3" fontId="82" fillId="2" borderId="6" applyAlignment="1" pivotButton="0" quotePrefix="0" xfId="0">
      <alignment horizontal="center" vertical="center" shrinkToFit="1"/>
    </xf>
    <xf numFmtId="3" fontId="81" fillId="2" borderId="6" applyAlignment="1" pivotButton="0" quotePrefix="0" xfId="0">
      <alignment horizontal="center" vertical="center" wrapText="1" shrinkToFit="1"/>
    </xf>
    <xf numFmtId="3" fontId="81" fillId="0" borderId="6" applyAlignment="1" pivotButton="0" quotePrefix="0" xfId="0">
      <alignment horizontal="center" vertical="center" shrinkToFit="1"/>
    </xf>
    <xf numFmtId="0" fontId="83" fillId="0" borderId="8" applyAlignment="1" pivotButton="0" quotePrefix="0" xfId="0">
      <alignment vertical="center" wrapText="1" shrinkToFit="1"/>
    </xf>
    <xf numFmtId="0" fontId="60" fillId="0" borderId="6" applyAlignment="1" pivotButton="0" quotePrefix="0" xfId="0">
      <alignment horizontal="center" vertical="center" wrapText="1" shrinkToFit="1"/>
    </xf>
    <xf numFmtId="0" fontId="60" fillId="0" borderId="0" applyAlignment="1" pivotButton="0" quotePrefix="0" xfId="0">
      <alignment vertical="center" shrinkToFit="1"/>
    </xf>
    <xf numFmtId="38" fontId="84" fillId="0" borderId="2" applyAlignment="1" pivotButton="0" quotePrefix="0" xfId="1">
      <alignment horizontal="center" vertical="center" shrinkToFit="1"/>
    </xf>
    <xf numFmtId="20" fontId="60" fillId="0" borderId="8" applyAlignment="1" pivotButton="0" quotePrefix="0" xfId="0">
      <alignment horizontal="center" vertical="center" shrinkToFit="1"/>
    </xf>
    <xf numFmtId="20" fontId="60" fillId="0" borderId="9" applyAlignment="1" pivotButton="0" quotePrefix="0" xfId="0">
      <alignment horizontal="center" vertical="center" shrinkToFit="1"/>
    </xf>
    <xf numFmtId="20" fontId="60" fillId="0" borderId="0" applyAlignment="1" pivotButton="0" quotePrefix="0" xfId="0">
      <alignment horizontal="center" vertical="center" shrinkToFit="1"/>
    </xf>
    <xf numFmtId="3" fontId="37" fillId="0" borderId="6" applyAlignment="1" pivotButton="0" quotePrefix="0" xfId="0">
      <alignment horizontal="center" vertical="center" shrinkToFit="1"/>
    </xf>
    <xf numFmtId="3" fontId="37" fillId="0" borderId="9" applyAlignment="1" pivotButton="0" quotePrefix="0" xfId="0">
      <alignment horizontal="center" vertical="center" shrinkToFit="1"/>
    </xf>
    <xf numFmtId="38" fontId="5" fillId="2" borderId="34" applyAlignment="1" pivotButton="0" quotePrefix="0" xfId="1">
      <alignment horizontal="center" vertical="center" shrinkToFit="1"/>
    </xf>
    <xf numFmtId="20" fontId="60" fillId="0" borderId="9" applyAlignment="1" pivotButton="0" quotePrefix="0" xfId="0">
      <alignment horizontal="center" vertical="center" wrapText="1" shrinkToFit="1"/>
    </xf>
    <xf numFmtId="0" fontId="0" fillId="0" borderId="19" applyAlignment="1" pivotButton="0" quotePrefix="0" xfId="0">
      <alignment vertical="center" shrinkToFit="1"/>
    </xf>
    <xf numFmtId="0" fontId="75" fillId="0" borderId="8" applyAlignment="1" pivotButton="0" quotePrefix="0" xfId="0">
      <alignment horizontal="center" vertical="center" shrinkToFit="1"/>
    </xf>
    <xf numFmtId="0" fontId="75" fillId="0" borderId="9" applyAlignment="1" pivotButton="0" quotePrefix="0" xfId="0">
      <alignment horizontal="center" vertical="center" shrinkToFit="1"/>
    </xf>
    <xf numFmtId="0" fontId="16" fillId="0" borderId="26" applyAlignment="1" pivotButton="0" quotePrefix="0" xfId="0">
      <alignment horizontal="right" vertical="center" shrinkToFit="1"/>
    </xf>
    <xf numFmtId="0" fontId="8" fillId="6" borderId="9" applyAlignment="1" pivotButton="0" quotePrefix="0" xfId="0">
      <alignment horizontal="center" vertical="center" wrapText="1" shrinkToFit="1"/>
    </xf>
    <xf numFmtId="38" fontId="0" fillId="2" borderId="9" applyAlignment="1" pivotButton="0" quotePrefix="0" xfId="1">
      <alignment horizontal="center" vertical="center" shrinkToFit="1"/>
    </xf>
    <xf numFmtId="0" fontId="13" fillId="0" borderId="34" applyAlignment="1" pivotButton="0" quotePrefix="0" xfId="0">
      <alignment horizontal="center" vertical="center" shrinkToFit="1"/>
    </xf>
    <xf numFmtId="0" fontId="13" fillId="0" borderId="44" applyAlignment="1" pivotButton="0" quotePrefix="0" xfId="0">
      <alignment horizontal="center" vertical="center" shrinkToFit="1"/>
    </xf>
    <xf numFmtId="38" fontId="16" fillId="0" borderId="34" applyAlignment="1" pivotButton="0" quotePrefix="0" xfId="1">
      <alignment horizontal="center" vertical="center" shrinkToFit="1"/>
    </xf>
    <xf numFmtId="38" fontId="16" fillId="0" borderId="44" applyAlignment="1" pivotButton="0" quotePrefix="0" xfId="1">
      <alignment horizontal="center" vertical="center" shrinkToFit="1"/>
    </xf>
    <xf numFmtId="38" fontId="1" fillId="2" borderId="9" applyAlignment="1" pivotButton="0" quotePrefix="0" xfId="1">
      <alignment horizontal="center" vertical="center" shrinkToFit="1"/>
    </xf>
    <xf numFmtId="38" fontId="21" fillId="0" borderId="45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9" fillId="2" borderId="20" applyAlignment="1" pivotButton="0" quotePrefix="0" xfId="0">
      <alignment horizontal="center" vertical="center" shrinkToFit="1"/>
    </xf>
    <xf numFmtId="0" fontId="9" fillId="2" borderId="21" applyAlignment="1" pivotButton="0" quotePrefix="0" xfId="0">
      <alignment horizontal="center" vertical="center" shrinkToFit="1"/>
    </xf>
    <xf numFmtId="0" fontId="13" fillId="0" borderId="22" applyAlignment="1" pivotButton="0" quotePrefix="0" xfId="0">
      <alignment horizontal="center" vertical="center" shrinkToFit="1"/>
    </xf>
    <xf numFmtId="0" fontId="13" fillId="0" borderId="31" applyAlignment="1" pivotButton="0" quotePrefix="0" xfId="0">
      <alignment horizontal="center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3" fillId="0" borderId="32" applyAlignment="1" pivotButton="0" quotePrefix="0" xfId="0">
      <alignment horizontal="center" vertical="center" shrinkToFit="1"/>
    </xf>
    <xf numFmtId="0" fontId="16" fillId="0" borderId="29" applyAlignment="1" pivotButton="0" quotePrefix="0" xfId="0">
      <alignment horizontal="right" vertical="center" shrinkToFit="1"/>
    </xf>
    <xf numFmtId="0" fontId="16" fillId="0" borderId="30" applyAlignment="1" pivotButton="0" quotePrefix="0" xfId="0">
      <alignment horizontal="right" vertical="center" shrinkToFit="1"/>
    </xf>
    <xf numFmtId="0" fontId="16" fillId="0" borderId="34" applyAlignment="1" pivotButton="0" quotePrefix="0" xfId="0">
      <alignment horizontal="center" vertical="center" shrinkToFit="1"/>
    </xf>
    <xf numFmtId="0" fontId="16" fillId="0" borderId="39" applyAlignment="1" pivotButton="0" quotePrefix="0" xfId="0">
      <alignment horizontal="center" vertical="center" shrinkToFit="1"/>
    </xf>
    <xf numFmtId="38" fontId="16" fillId="0" borderId="35" applyAlignment="1" pivotButton="0" quotePrefix="0" xfId="0">
      <alignment horizontal="center" vertical="center" shrinkToFit="1"/>
    </xf>
    <xf numFmtId="0" fontId="16" fillId="0" borderId="40" applyAlignment="1" pivotButton="0" quotePrefix="0" xfId="0">
      <alignment horizontal="center" vertical="center" shrinkToFit="1"/>
    </xf>
    <xf numFmtId="0" fontId="16" fillId="0" borderId="36" applyAlignment="1" pivotButton="0" quotePrefix="0" xfId="0">
      <alignment horizontal="center" vertical="center" shrinkToFit="1"/>
    </xf>
    <xf numFmtId="0" fontId="16" fillId="0" borderId="11" applyAlignment="1" pivotButton="0" quotePrefix="0" xfId="0">
      <alignment horizontal="center" vertical="center" shrinkToFit="1"/>
    </xf>
    <xf numFmtId="38" fontId="16" fillId="0" borderId="37" applyAlignment="1" pivotButton="0" quotePrefix="0" xfId="1">
      <alignment horizontal="center" vertical="center" shrinkToFit="1"/>
    </xf>
    <xf numFmtId="38" fontId="16" fillId="0" borderId="14" applyAlignment="1" pivotButton="0" quotePrefix="0" xfId="1">
      <alignment horizontal="center" vertical="center" shrinkToFit="1"/>
    </xf>
    <xf numFmtId="38" fontId="16" fillId="0" borderId="38" applyAlignment="1" pivotButton="0" quotePrefix="0" xfId="1">
      <alignment horizontal="center" vertical="center" shrinkToFit="1"/>
    </xf>
    <xf numFmtId="38" fontId="16" fillId="0" borderId="41" applyAlignment="1" pivotButton="0" quotePrefix="0" xfId="1">
      <alignment horizontal="center" vertical="center" shrinkToFit="1"/>
    </xf>
    <xf numFmtId="38" fontId="16" fillId="0" borderId="42" applyAlignment="1" pivotButton="0" quotePrefix="0" xfId="1">
      <alignment horizontal="center" vertical="center" shrinkToFit="1"/>
    </xf>
    <xf numFmtId="38" fontId="16" fillId="0" borderId="43" applyAlignment="1" pivotButton="0" quotePrefix="0" xfId="1">
      <alignment horizontal="center" vertical="center" shrinkToFit="1"/>
    </xf>
    <xf numFmtId="0" fontId="16" fillId="0" borderId="27" applyAlignment="1" pivotButton="0" quotePrefix="0" xfId="0">
      <alignment horizontal="center" vertical="center" shrinkToFit="1"/>
    </xf>
    <xf numFmtId="0" fontId="16" fillId="0" borderId="28" applyAlignment="1" pivotButton="0" quotePrefix="0" xfId="0">
      <alignment horizontal="center" vertical="center" shrinkToFit="1"/>
    </xf>
    <xf numFmtId="0" fontId="16" fillId="0" borderId="12" applyAlignment="1" pivotButton="0" quotePrefix="0" xfId="0">
      <alignment horizontal="center" vertical="center" shrinkToFit="1"/>
    </xf>
    <xf numFmtId="0" fontId="16" fillId="0" borderId="25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3" borderId="20" applyAlignment="1" pivotButton="0" quotePrefix="0" xfId="0">
      <alignment horizontal="center" vertical="center" shrinkToFit="1"/>
    </xf>
    <xf numFmtId="0" fontId="0" fillId="3" borderId="21" applyAlignment="1" pivotButton="0" quotePrefix="0" xfId="0">
      <alignment horizontal="center" vertical="center" shrinkToFit="1"/>
    </xf>
    <xf numFmtId="0" fontId="16" fillId="0" borderId="22" applyAlignment="1" pivotButton="0" quotePrefix="0" xfId="0">
      <alignment horizontal="center" vertical="center" shrinkToFit="1"/>
    </xf>
    <xf numFmtId="0" fontId="16" fillId="0" borderId="23" applyAlignment="1" pivotButton="0" quotePrefix="0" xfId="0">
      <alignment horizontal="center" vertical="center" shrinkToFit="1"/>
    </xf>
    <xf numFmtId="0" fontId="16" fillId="0" borderId="24" applyAlignment="1" pivotButton="0" quotePrefix="0" xfId="0">
      <alignment horizontal="right" vertical="center" shrinkToFit="1"/>
    </xf>
    <xf numFmtId="0" fontId="16" fillId="0" borderId="26" applyAlignment="1" pivotButton="0" quotePrefix="0" xfId="0">
      <alignment horizontal="right" vertical="center" shrinkToFit="1"/>
    </xf>
    <xf numFmtId="0" fontId="9" fillId="2" borderId="20" applyAlignment="1" pivotButton="0" quotePrefix="0" xfId="0">
      <alignment horizontal="center" vertical="center" wrapText="1" shrinkToFit="1"/>
    </xf>
    <xf numFmtId="0" fontId="9" fillId="2" borderId="21" applyAlignment="1" pivotButton="0" quotePrefix="0" xfId="0">
      <alignment horizontal="center" vertical="center" wrapText="1" shrinkToFit="1"/>
    </xf>
    <xf numFmtId="0" fontId="25" fillId="0" borderId="50" applyAlignment="1" pivotButton="0" quotePrefix="0" xfId="0">
      <alignment horizontal="center" vertical="center" shrinkToFit="1"/>
    </xf>
    <xf numFmtId="0" fontId="25" fillId="0" borderId="51" applyAlignment="1" pivotButton="0" quotePrefix="0" xfId="0">
      <alignment horizontal="center" vertical="center" shrinkToFit="1"/>
    </xf>
    <xf numFmtId="0" fontId="25" fillId="0" borderId="52" applyAlignment="1" pivotButton="0" quotePrefix="0" xfId="0">
      <alignment horizontal="center" vertical="center" shrinkToFit="1"/>
    </xf>
    <xf numFmtId="56" fontId="6" fillId="0" borderId="1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 shrinkToFit="1"/>
    </xf>
    <xf numFmtId="0" fontId="13" fillId="0" borderId="4" applyAlignment="1" pivotButton="0" quotePrefix="0" xfId="0">
      <alignment horizontal="center" vertical="center" shrinkToFit="1"/>
    </xf>
    <xf numFmtId="0" fontId="13" fillId="0" borderId="3" applyAlignment="1" pivotButton="0" quotePrefix="0" xfId="0">
      <alignment horizontal="center" vertical="center" shrinkToFit="1"/>
    </xf>
    <xf numFmtId="0" fontId="0" fillId="0" borderId="18" applyAlignment="1" pivotButton="0" quotePrefix="0" xfId="0">
      <alignment horizontal="center" vertical="center" shrinkToFit="1"/>
    </xf>
    <xf numFmtId="38" fontId="16" fillId="0" borderId="37" applyAlignment="1" pivotButton="0" quotePrefix="0" xfId="3">
      <alignment horizontal="center" vertical="center" shrinkToFit="1"/>
    </xf>
    <xf numFmtId="38" fontId="16" fillId="0" borderId="14" applyAlignment="1" pivotButton="0" quotePrefix="0" xfId="3">
      <alignment horizontal="center" vertical="center" shrinkToFit="1"/>
    </xf>
    <xf numFmtId="38" fontId="16" fillId="0" borderId="31" applyAlignment="1" pivotButton="0" quotePrefix="0" xfId="3">
      <alignment horizontal="center" vertical="center" shrinkToFit="1"/>
    </xf>
    <xf numFmtId="38" fontId="16" fillId="0" borderId="38" applyAlignment="1" pivotButton="0" quotePrefix="0" xfId="3">
      <alignment horizontal="center" vertical="center" shrinkToFit="1"/>
    </xf>
    <xf numFmtId="38" fontId="16" fillId="0" borderId="41" applyAlignment="1" pivotButton="0" quotePrefix="0" xfId="3">
      <alignment horizontal="center" vertical="center" shrinkToFit="1"/>
    </xf>
    <xf numFmtId="38" fontId="16" fillId="0" borderId="42" applyAlignment="1" pivotButton="0" quotePrefix="0" xfId="3">
      <alignment horizontal="center" vertical="center" shrinkToFit="1"/>
    </xf>
    <xf numFmtId="38" fontId="16" fillId="0" borderId="32" applyAlignment="1" pivotButton="0" quotePrefix="0" xfId="3">
      <alignment horizontal="center" vertical="center" shrinkToFit="1"/>
    </xf>
    <xf numFmtId="38" fontId="16" fillId="0" borderId="43" applyAlignment="1" pivotButton="0" quotePrefix="0" xfId="3">
      <alignment horizontal="center" vertical="center" shrinkToFit="1"/>
    </xf>
    <xf numFmtId="38" fontId="0" fillId="2" borderId="9" applyAlignment="1" pivotButton="0" quotePrefix="0" xfId="3">
      <alignment horizontal="center" vertical="center" shrinkToFit="1"/>
    </xf>
    <xf numFmtId="38" fontId="16" fillId="0" borderId="34" applyAlignment="1" pivotButton="0" quotePrefix="0" xfId="3">
      <alignment horizontal="center" vertical="center" shrinkToFit="1"/>
    </xf>
    <xf numFmtId="38" fontId="16" fillId="0" borderId="44" applyAlignment="1" pivotButton="0" quotePrefix="0" xfId="3">
      <alignment horizontal="center" vertical="center" shrinkToFit="1"/>
    </xf>
    <xf numFmtId="38" fontId="1" fillId="2" borderId="9" applyAlignment="1" pivotButton="0" quotePrefix="0" xfId="3">
      <alignment horizontal="center" vertical="center" shrinkToFit="1"/>
    </xf>
    <xf numFmtId="0" fontId="13" fillId="0" borderId="65" applyAlignment="1" pivotButton="0" quotePrefix="0" xfId="0">
      <alignment horizontal="center" vertical="center" shrinkToFit="1"/>
    </xf>
    <xf numFmtId="0" fontId="13" fillId="0" borderId="66" applyAlignment="1" pivotButton="0" quotePrefix="0" xfId="0">
      <alignment horizontal="center" vertical="center" shrinkToFit="1"/>
    </xf>
    <xf numFmtId="0" fontId="9" fillId="0" borderId="20" applyAlignment="1" pivotButton="0" quotePrefix="0" xfId="0">
      <alignment horizontal="left" vertical="center" shrinkToFit="1"/>
    </xf>
    <xf numFmtId="0" fontId="9" fillId="0" borderId="33" applyAlignment="1" pivotButton="0" quotePrefix="0" xfId="0">
      <alignment horizontal="left" vertical="center" shrinkToFit="1"/>
    </xf>
    <xf numFmtId="0" fontId="9" fillId="0" borderId="21" applyAlignment="1" pivotButton="0" quotePrefix="0" xfId="0">
      <alignment horizontal="left" vertical="center" shrinkToFit="1"/>
    </xf>
    <xf numFmtId="0" fontId="9" fillId="2" borderId="13" applyAlignment="1" pivotButton="0" quotePrefix="0" xfId="0">
      <alignment horizontal="center" vertical="center" shrinkToFit="1"/>
    </xf>
    <xf numFmtId="0" fontId="16" fillId="0" borderId="65" applyAlignment="1" pivotButton="0" quotePrefix="0" xfId="0">
      <alignment horizontal="center" vertical="center" shrinkToFit="1"/>
    </xf>
    <xf numFmtId="0" fontId="16" fillId="0" borderId="66" applyAlignment="1" pivotButton="0" quotePrefix="0" xfId="0">
      <alignment horizontal="center" vertical="center" shrinkToFit="1"/>
    </xf>
    <xf numFmtId="0" fontId="16" fillId="0" borderId="67" applyAlignment="1" pivotButton="0" quotePrefix="0" xfId="0">
      <alignment horizontal="center" vertical="center" shrinkToFit="1"/>
    </xf>
    <xf numFmtId="164" fontId="7" fillId="0" borderId="1" applyAlignment="1" pivotButton="0" quotePrefix="0" xfId="0">
      <alignment horizontal="center" vertical="center" shrinkToFit="1"/>
    </xf>
    <xf numFmtId="38" fontId="16" fillId="0" borderId="31" applyAlignment="1" pivotButton="0" quotePrefix="0" xfId="1">
      <alignment horizontal="center" vertical="center" shrinkToFit="1"/>
    </xf>
    <xf numFmtId="38" fontId="16" fillId="0" borderId="32" applyAlignment="1" pivotButton="0" quotePrefix="0" xfId="1">
      <alignment horizontal="center" vertical="center" shrinkToFit="1"/>
    </xf>
    <xf numFmtId="0" fontId="66" fillId="0" borderId="0" applyAlignment="1" pivotButton="0" quotePrefix="0" xfId="0">
      <alignment horizontal="center" vertical="center" shrinkToFit="1"/>
    </xf>
    <xf numFmtId="164" fontId="12" fillId="0" borderId="1" applyAlignment="1" pivotButton="0" quotePrefix="0" xfId="0">
      <alignment horizontal="center" vertical="center" shrinkToFit="1"/>
    </xf>
    <xf numFmtId="0" fontId="68" fillId="0" borderId="0" applyAlignment="1" pivotButton="0" quotePrefix="0" xfId="0">
      <alignment horizontal="center" vertical="center" shrinkToFit="1"/>
    </xf>
    <xf numFmtId="164" fontId="7" fillId="0" borderId="0" applyAlignment="1" pivotButton="0" quotePrefix="0" xfId="0">
      <alignment horizontal="center" vertical="center" shrinkToFit="1"/>
    </xf>
    <xf numFmtId="0" fontId="76" fillId="0" borderId="0" applyAlignment="1" pivotButton="0" quotePrefix="0" xfId="0">
      <alignment horizontal="center" vertical="center" shrinkToFit="1"/>
    </xf>
    <xf numFmtId="0" fontId="77" fillId="0" borderId="0" applyAlignment="1" pivotButton="0" quotePrefix="0" xfId="0">
      <alignment horizontal="center" vertical="center" shrinkToFit="1"/>
    </xf>
    <xf numFmtId="164" fontId="6" fillId="0" borderId="0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horizontal="center" vertical="center" shrinkToFit="1"/>
    </xf>
    <xf numFmtId="164" fontId="6" fillId="0" borderId="1" applyAlignment="1" pivotButton="0" quotePrefix="0" xfId="0">
      <alignment horizontal="center" vertical="center" shrinkToFit="1"/>
    </xf>
    <xf numFmtId="164" fontId="23" fillId="0" borderId="1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5" applyAlignment="1" pivotButton="0" quotePrefix="0" xfId="0">
      <alignment horizontal="center" vertical="center" shrinkToFit="1"/>
    </xf>
    <xf numFmtId="0" fontId="0" fillId="2" borderId="7" applyAlignment="1" pivotButton="0" quotePrefix="0" xfId="0">
      <alignment horizontal="center" vertical="center" shrinkToFit="1"/>
    </xf>
    <xf numFmtId="0" fontId="0" fillId="2" borderId="5" applyAlignment="1" pivotButton="0" quotePrefix="0" xfId="0">
      <alignment horizontal="center" vertical="center" shrinkToFit="1"/>
    </xf>
    <xf numFmtId="0" fontId="2" fillId="2" borderId="6" applyAlignment="1" pivotButton="0" quotePrefix="0" xfId="0">
      <alignment horizontal="center" vertical="center" shrinkToFit="1"/>
    </xf>
    <xf numFmtId="0" fontId="2" fillId="2" borderId="5" applyAlignment="1" pivotButton="0" quotePrefix="0" xfId="0">
      <alignment horizontal="center" vertical="center" shrinkToFit="1"/>
    </xf>
    <xf numFmtId="0" fontId="0" fillId="2" borderId="6" applyAlignment="1" pivotButton="0" quotePrefix="0" xfId="0">
      <alignment horizontal="center" vertical="center" shrinkToFit="1"/>
    </xf>
    <xf numFmtId="20" fontId="0" fillId="2" borderId="6" applyAlignment="1" pivotButton="0" quotePrefix="0" xfId="0">
      <alignment horizontal="center" vertical="center" shrinkToFit="1"/>
    </xf>
    <xf numFmtId="20" fontId="0" fillId="2" borderId="5" applyAlignment="1" pivotButton="0" quotePrefix="0" xfId="0">
      <alignment horizontal="center" vertical="center" shrinkToFit="1"/>
    </xf>
    <xf numFmtId="0" fontId="0" fillId="2" borderId="8" applyAlignment="1" pivotButton="0" quotePrefix="0" xfId="0">
      <alignment horizontal="center" vertical="center" shrinkToFit="1"/>
    </xf>
    <xf numFmtId="20" fontId="0" fillId="2" borderId="8" applyAlignment="1" pivotButton="0" quotePrefix="0" xfId="0">
      <alignment horizontal="center" vertical="center" shrinkToFit="1"/>
    </xf>
    <xf numFmtId="0" fontId="2" fillId="2" borderId="8" applyAlignment="1" pivotButton="0" quotePrefix="0" xfId="0">
      <alignment horizontal="center" vertical="center" shrinkToFit="1"/>
    </xf>
    <xf numFmtId="0" fontId="38" fillId="8" borderId="0" applyAlignment="1" pivotButton="0" quotePrefix="0" xfId="0">
      <alignment horizontal="left" vertical="center"/>
    </xf>
    <xf numFmtId="0" fontId="0" fillId="8" borderId="0" applyAlignment="1" pivotButton="0" quotePrefix="0" xfId="0">
      <alignment vertical="center"/>
    </xf>
    <xf numFmtId="3" fontId="75" fillId="2" borderId="6" applyAlignment="1" pivotButton="0" quotePrefix="0" xfId="0">
      <alignment horizontal="center" vertical="center" wrapText="1" shrinkToFit="1"/>
    </xf>
    <xf numFmtId="0" fontId="2" fillId="2" borderId="9" applyAlignment="1" pivotButton="0" quotePrefix="0" xfId="0">
      <alignment horizontal="center" vertical="center" shrinkToFit="1"/>
    </xf>
    <xf numFmtId="0" fontId="0" fillId="0" borderId="6" applyAlignment="1" pivotButton="0" quotePrefix="0" xfId="0">
      <alignment horizontal="center" vertical="center" wrapText="1" shrinkToFit="1"/>
    </xf>
    <xf numFmtId="0" fontId="10" fillId="0" borderId="6" applyAlignment="1" pivotButton="0" quotePrefix="0" xfId="0">
      <alignment horizontal="center" vertical="center" wrapText="1" shrinkToFit="1"/>
    </xf>
    <xf numFmtId="0" fontId="0" fillId="0" borderId="6" applyAlignment="1" pivotButton="0" quotePrefix="0" xfId="0">
      <alignment horizontal="center" vertical="center" wrapText="1" shrinkToFit="1"/>
    </xf>
    <xf numFmtId="0" fontId="0" fillId="23" borderId="9" applyAlignment="1" pivotButton="0" quotePrefix="0" xfId="0">
      <alignment horizontal="center" vertical="center" shrinkToFit="1"/>
    </xf>
    <xf numFmtId="0" fontId="0" fillId="5" borderId="9" applyAlignment="1" pivotButton="0" quotePrefix="0" xfId="0">
      <alignment horizontal="center" vertical="center" shrinkToFit="1"/>
    </xf>
    <xf numFmtId="0" fontId="37" fillId="2" borderId="6" applyAlignment="1" pivotButton="0" quotePrefix="0" xfId="0">
      <alignment horizontal="center" vertical="center" wrapText="1" shrinkToFit="1"/>
    </xf>
    <xf numFmtId="0" fontId="3" fillId="0" borderId="0" applyAlignment="1" pivotButton="0" quotePrefix="0" xfId="0">
      <alignment horizontal="center" vertical="center" shrinkToFit="1"/>
    </xf>
    <xf numFmtId="20" fontId="0" fillId="0" borderId="0" applyAlignment="1" pivotButton="0" quotePrefix="0" xfId="0">
      <alignment horizontal="center" vertical="center" wrapText="1" shrinkToFit="1"/>
    </xf>
    <xf numFmtId="0" fontId="2" fillId="2" borderId="19" applyAlignment="1" pivotButton="0" quotePrefix="0" xfId="0">
      <alignment horizontal="center" vertical="center" shrinkToFit="1"/>
    </xf>
    <xf numFmtId="3" fontId="0" fillId="0" borderId="19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0" fillId="0" borderId="110" applyAlignment="1" pivotButton="0" quotePrefix="0" xfId="0">
      <alignment horizontal="center" vertical="center" shrinkToFit="1"/>
    </xf>
    <xf numFmtId="0" fontId="2" fillId="2" borderId="0" applyAlignment="1" pivotButton="0" quotePrefix="0" xfId="0">
      <alignment horizontal="center" vertical="center" shrinkToFit="1"/>
    </xf>
    <xf numFmtId="3" fontId="0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wrapText="1" shrinkToFit="1"/>
    </xf>
    <xf numFmtId="0" fontId="0" fillId="0" borderId="19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horizontal="center" vertical="center" wrapText="1" shrinkToFit="1"/>
    </xf>
    <xf numFmtId="0" fontId="0" fillId="0" borderId="67" applyAlignment="1" pivotButton="0" quotePrefix="0" xfId="0">
      <alignment horizontal="center" vertical="center" shrinkToFit="1"/>
    </xf>
    <xf numFmtId="0" fontId="2" fillId="2" borderId="67" applyAlignment="1" pivotButton="0" quotePrefix="0" xfId="0">
      <alignment horizontal="center" vertical="center" shrinkToFit="1"/>
    </xf>
    <xf numFmtId="0" fontId="0" fillId="0" borderId="67" applyAlignment="1" pivotButton="0" quotePrefix="0" xfId="0">
      <alignment horizontal="center" vertical="center" wrapText="1" shrinkToFit="1"/>
    </xf>
    <xf numFmtId="3" fontId="2" fillId="0" borderId="0" applyAlignment="1" pivotButton="0" quotePrefix="0" xfId="0">
      <alignment horizontal="center" vertical="center" shrinkToFit="1"/>
    </xf>
    <xf numFmtId="3" fontId="2" fillId="2" borderId="19" applyAlignment="1" pivotButton="0" quotePrefix="0" xfId="0">
      <alignment horizontal="center" vertical="center" shrinkToFit="1"/>
    </xf>
    <xf numFmtId="0" fontId="8" fillId="5" borderId="6" applyAlignment="1" pivotButton="0" quotePrefix="0" xfId="0">
      <alignment horizontal="center" vertical="center" wrapText="1" shrinkToFi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14" pivotButton="0" quotePrefix="0" xfId="0"/>
    <xf numFmtId="0" fontId="0" fillId="0" borderId="115" pivotButton="0" quotePrefix="0" xfId="0"/>
    <xf numFmtId="0" fontId="0" fillId="0" borderId="116" pivotButton="0" quotePrefix="0" xfId="0"/>
    <xf numFmtId="0" fontId="0" fillId="0" borderId="117" pivotButton="0" quotePrefix="0" xfId="0"/>
    <xf numFmtId="0" fontId="0" fillId="0" borderId="110" pivotButton="0" quotePrefix="0" xfId="0"/>
    <xf numFmtId="0" fontId="0" fillId="0" borderId="120" pivotButton="0" quotePrefix="0" xfId="0"/>
    <xf numFmtId="0" fontId="16" fillId="0" borderId="2" applyAlignment="1" pivotButton="0" quotePrefix="0" xfId="0">
      <alignment horizontal="center" vertical="center" shrinkToFit="1"/>
    </xf>
    <xf numFmtId="0" fontId="0" fillId="0" borderId="39" pivotButton="0" quotePrefix="0" xfId="0"/>
    <xf numFmtId="0" fontId="0" fillId="0" borderId="40" pivotButton="0" quotePrefix="0" xfId="0"/>
    <xf numFmtId="0" fontId="0" fillId="0" borderId="122" pivotButton="0" quotePrefix="0" xfId="0"/>
    <xf numFmtId="0" fontId="0" fillId="0" borderId="67" pivotButton="0" quotePrefix="0" xfId="0"/>
    <xf numFmtId="0" fontId="13" fillId="0" borderId="123" applyAlignment="1" pivotButton="0" quotePrefix="0" xfId="0">
      <alignment horizontal="center" vertical="center" shrinkToFit="1"/>
    </xf>
    <xf numFmtId="38" fontId="16" fillId="0" borderId="123" applyAlignment="1" pivotButton="0" quotePrefix="0" xfId="1">
      <alignment horizontal="center" vertical="center" shrinkToFit="1"/>
    </xf>
    <xf numFmtId="0" fontId="0" fillId="0" borderId="44" pivotButton="0" quotePrefix="0" xfId="0"/>
    <xf numFmtId="0" fontId="25" fillId="0" borderId="111" applyAlignment="1" pivotButton="0" quotePrefix="0" xfId="0">
      <alignment horizontal="center" vertical="center" shrinkToFit="1"/>
    </xf>
    <xf numFmtId="0" fontId="0" fillId="0" borderId="51" pivotButton="0" quotePrefix="0" xfId="0"/>
    <xf numFmtId="0" fontId="0" fillId="0" borderId="52" pivotButton="0" quotePrefix="0" xfId="0"/>
    <xf numFmtId="0" fontId="9" fillId="2" borderId="5" applyAlignment="1" pivotButton="0" quotePrefix="0" xfId="0">
      <alignment horizontal="center" vertical="center" shrinkToFit="1"/>
    </xf>
    <xf numFmtId="0" fontId="9" fillId="0" borderId="9" applyAlignment="1" pivotButton="0" quotePrefix="0" xfId="0">
      <alignment horizontal="left" vertical="center" shrinkToFit="1"/>
    </xf>
    <xf numFmtId="0" fontId="0" fillId="0" borderId="33" pivotButton="0" quotePrefix="0" xfId="0"/>
    <xf numFmtId="38" fontId="16" fillId="0" borderId="123" applyAlignment="1" pivotButton="0" quotePrefix="0" xfId="3">
      <alignment horizontal="center" vertical="center" shrinkToFit="1"/>
    </xf>
    <xf numFmtId="164" fontId="7" fillId="0" borderId="1" applyAlignment="1" pivotButton="0" quotePrefix="0" xfId="0">
      <alignment horizontal="center" vertical="center" shrinkToFit="1"/>
    </xf>
    <xf numFmtId="0" fontId="0" fillId="0" borderId="27" pivotButton="0" quotePrefix="0" xfId="0"/>
    <xf numFmtId="164" fontId="12" fillId="0" borderId="1" applyAlignment="1" pivotButton="0" quotePrefix="0" xfId="0">
      <alignment horizontal="center" vertical="center" shrinkToFit="1"/>
    </xf>
    <xf numFmtId="164" fontId="7" fillId="0" borderId="0" applyAlignment="1" pivotButton="0" quotePrefix="0" xfId="0">
      <alignment horizontal="center" vertical="center" shrinkToFit="1"/>
    </xf>
    <xf numFmtId="164" fontId="6" fillId="0" borderId="0" applyAlignment="1" pivotButton="0" quotePrefix="0" xfId="0">
      <alignment horizontal="center" vertical="center" shrinkToFit="1"/>
    </xf>
    <xf numFmtId="164" fontId="6" fillId="0" borderId="1" applyAlignment="1" pivotButton="0" quotePrefix="0" xfId="0">
      <alignment horizontal="center" vertical="center" shrinkToFit="1"/>
    </xf>
    <xf numFmtId="0" fontId="0" fillId="0" borderId="66" pivotButton="0" quotePrefix="0" xfId="0"/>
    <xf numFmtId="0" fontId="0" fillId="0" borderId="125" pivotButton="0" quotePrefix="0" xfId="0"/>
    <xf numFmtId="164" fontId="23" fillId="0" borderId="1" applyAlignment="1" pivotButton="0" quotePrefix="0" xfId="0">
      <alignment horizontal="center" vertical="center" shrinkToFit="1"/>
    </xf>
    <xf numFmtId="0" fontId="0" fillId="2" borderId="14" applyAlignment="1" pivotButton="0" quotePrefix="0" xfId="0">
      <alignment horizontal="center" vertical="center" shrinkToFit="1"/>
    </xf>
    <xf numFmtId="20" fontId="0" fillId="2" borderId="14" applyAlignment="1" pivotButton="0" quotePrefix="0" xfId="0">
      <alignment horizontal="center" vertical="center" shrinkToFit="1"/>
    </xf>
    <xf numFmtId="0" fontId="2" fillId="2" borderId="14" applyAlignment="1" pivotButton="0" quotePrefix="0" xfId="0">
      <alignment horizontal="center" vertical="center" shrinkToFit="1"/>
    </xf>
    <xf numFmtId="0" fontId="0" fillId="0" borderId="5" pivotButton="0" quotePrefix="0" xfId="0"/>
    <xf numFmtId="20" fontId="0" fillId="2" borderId="9" applyAlignment="1" pivotButton="0" quotePrefix="0" xfId="0">
      <alignment horizontal="center" vertical="center" shrinkToFit="1"/>
    </xf>
  </cellXfs>
  <cellStyles count="5">
    <cellStyle name="標準" xfId="0" builtinId="0"/>
    <cellStyle name="桁区切り" xfId="1" builtinId="6"/>
    <cellStyle name="パーセント" xfId="2" builtinId="5"/>
    <cellStyle name="桁区切り 2" xfId="3"/>
    <cellStyle name="パーセント 2" xfId="4"/>
  </cellStyles>
  <dxfs count="352">
    <dxf>
      <fill>
        <patternFill>
          <bgColor rgb="FFFFC000"/>
        </patternFill>
      </fill>
    </dxf>
    <dxf>
      <font>
        <b val="1"/>
        <color rgb="FFFF0000"/>
      </font>
      <fill>
        <patternFill patternType="solid">
          <fgColor indexed="64"/>
          <bgColor rgb="FFFFFF00"/>
        </patternFill>
      </fill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BFBFBF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ill>
        <patternFill>
          <bgColor rgb="FFFFC000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>
          <bgColor rgb="FFFFC000"/>
        </patternFill>
      </fill>
    </dxf>
    <dxf>
      <fill>
        <patternFill patternType="solid">
          <fgColor indexed="64"/>
          <bgColor rgb="FFBFBFBF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  <dxf>
      <fill>
        <patternFill patternType="solid">
          <fgColor indexed="64"/>
          <bgColor rgb="FFBFBFBF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b val="1"/>
      </font>
    </dxf>
    <dxf>
      <font>
        <b val="1"/>
        <color rgb="FF0070C0"/>
      </font>
    </dxf>
    <dxf>
      <font>
        <b val="1"/>
        <color rgb="FF0070C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comments/comment1.xml><?xml version="1.0" encoding="utf-8"?>
<comments xmlns="http://schemas.openxmlformats.org/spreadsheetml/2006/main">
  <authors>
    <author>WatanabeKande2021</author>
  </authors>
  <commentList>
    <comment ref="D17" authorId="0" shapeId="0">
      <text>
        <t xml:space="preserve">WatanabeKande2021:AM積み込み
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3.5"/>
  <sheetData>
    <row r="1">
      <c r="A1" s="137" t="inlineStr">
        <is>
          <t>Turn #</t>
        </is>
      </c>
      <c r="B1" s="137" t="inlineStr">
        <is>
          <t>Date</t>
        </is>
      </c>
      <c r="C1" s="137" t="inlineStr">
        <is>
          <t>User Request</t>
        </is>
      </c>
      <c r="D1" s="137" t="inlineStr">
        <is>
          <t>Action Taken</t>
        </is>
      </c>
      <c r="E1" s="137" t="inlineStr">
        <is>
          <t>Details</t>
        </is>
      </c>
      <c r="F1" s="137" t="inlineStr">
        <is>
          <t>Outcome</t>
        </is>
      </c>
    </row>
    <row r="2">
      <c r="A2" s="0" t="n">
        <v>1</v>
      </c>
      <c r="B2" s="263" t="n">
        <v>46143</v>
      </c>
      <c r="C2" s="0" t="inlineStr">
        <is>
          <t>シート「5　7 (2)」のL列にある計算式をすべてK列へ移動してほしい</t>
        </is>
      </c>
      <c r="D2" s="0" t="inlineStr">
        <is>
          <t>L列の計算式をK列へコピーし、L列をクリア</t>
        </is>
      </c>
      <c r="E2" s="0" t="inlineStr">
        <is>
          <t>L列（行6, 8〜17, 20〜23, 25, 27〜32, 34〜36, 43）の運賃計算式をK列の対応行へ移動。L3の「距離」ヘッダーテキストもクリア。K3（特記事項）・K50・K52・K55の既存データは保持。</t>
        </is>
      </c>
      <c r="F2" s="0" t="inlineStr">
        <is>
          <t>K列に全計算式を移動完了。L列はクリア済み。</t>
        </is>
      </c>
    </row>
    <row r="3">
      <c r="A3" s="0" t="n">
        <v>4</v>
      </c>
      <c r="B3" s="263" t="n">
        <v>46143</v>
      </c>
      <c r="C3" s="0" t="inlineStr">
        <is>
          <t>K5:K47に運賃計算式を挿入（L列に距離入力→K列に運賃反映）</t>
        </is>
      </c>
      <c r="D3" s="0" t="inlineStr">
        <is>
          <t>K5:K47の全データ行に運賃計算式を挿入。H列の「202＊2」形式からVALUE(LEFT(...))で番号を抽出するロジック込み</t>
        </is>
      </c>
      <c r="E3" s="0" t="inlineStr">
        <is>
          <t>計算式はLET+VLOOKUP構造。H列番号→運賃マスターA22:B39で車種特定→L列距離で各車種テーブル参照。動作確認：d=15でK39=8500円を確認。注意：各テーブルの最小距離は10kmのため、6km等の小さい値は#N/A→空になる</t>
        </is>
      </c>
      <c r="F3" s="0" t="inlineStr">
        <is>
          <t>37行に計算式挿入完了。L列10km以上の距離入力でK列に運賃が反映される状態を確認済み</t>
        </is>
      </c>
    </row>
    <row r="4">
      <c r="A4" s="0" t="n">
        <v>5</v>
      </c>
      <c r="B4" s="263" t="n">
        <v>46143</v>
      </c>
      <c r="C4" s="0" t="inlineStr">
        <is>
          <t>L列に距離を入力しても運賃が表示されない問題の修正</t>
        </is>
      </c>
      <c r="D4" s="0" t="inlineStr">
        <is>
          <t>K列の計算式を改良：距離が運賃マスターの最小値未満でもテーブル最小行の運賃を返すよう修正</t>
        </is>
      </c>
      <c r="E4" s="0" t="inlineStr">
        <is>
          <t>VLOOKUPを各車種でIFERROR(VLOOKUP(...),最小行運賃)に変更。3t最小=B5、3t=F5、1t=J5、軽=N5、3tPG=R5を返す。L24・L25にもテスト書き込みで反映を確認</t>
        </is>
      </c>
      <c r="F4" s="0" t="inlineStr">
        <is>
          <t>L5=6→K5=15,000円（3t最小運賃）、L24=6/L25=6→K24・K25=15,000円。L列入力でK列に運賃が反映される状態を確認</t>
        </is>
      </c>
    </row>
    <row r="5">
      <c r="A5" s="0" t="n">
        <v>6</v>
      </c>
      <c r="B5" s="263" t="n">
        <v>46143</v>
      </c>
      <c r="C5" s="0" t="inlineStr">
        <is>
          <t>シート「5　7」のK列運賃計算式を修正</t>
        </is>
      </c>
      <c r="D5" s="0" t="inlineStr">
        <is>
          <t>K5:K23に最新の運賃計算式を適用</t>
        </is>
      </c>
      <c r="E5" s="0" t="inlineStr">
        <is>
          <t>既存式の誤り3点を修正：(1)G列参照→H列参照、(2)H列の「10＊2」形式から番号自動抽出（IFERRORでテキスト/数値両対応）、(3)距離が最小値未満時にテーブル最小行運賃を返す改良版IFERROR、(4)最終フォールバック0→空文字</t>
        </is>
      </c>
      <c r="F5" s="0" t="inlineStr">
        <is>
          <t>L10=6,L11=6→K10・K11=5,000円（軽の最小運賃）を確認。L列に距離入力でK列に運賃が反映される状態</t>
        </is>
      </c>
    </row>
    <row r="6">
      <c r="A6" s="0" t="n">
        <v>7</v>
      </c>
      <c r="B6" s="263" t="n">
        <v>46143</v>
      </c>
      <c r="C6" s="0" t="inlineStr">
        <is>
          <t>5月の他のシートの運賃計算式チェックと一括修正</t>
        </is>
      </c>
      <c r="D6" s="0" t="inlineStr">
        <is>
          <t>5月の全日付シート52枚のK5:K47に最新運賃計算式を一括適用</t>
        </is>
      </c>
      <c r="E6" s="0" t="inlineStr">
        <is>
          <t>監査結果：G参照(誤)が22シート、H+M参照(旧)が18シート、H+L参照(部分的)が6シート、その他5シートで問題あり。手動計算モードで一括書き込みし、最新計算式（H列番号自動抽出+L列距離参照+最小値未満時テーブル最小行運賃返却）を全52シートに適用。サンプル5シート（5　2、5　15、5　22、5　31、5　19(2)）で計算式正常を確認</t>
        </is>
      </c>
      <c r="F6" s="0" t="inlineStr">
        <is>
          <t>5月の全日付シートで統一運賃計算式が稼働。L列に距離を入力するとK列に運賃が反映される状態</t>
        </is>
      </c>
    </row>
    <row r="7">
      <c r="A7" s="0" t="n">
        <v>8</v>
      </c>
      <c r="B7" s="263" t="n">
        <v>46143</v>
      </c>
      <c r="C7" s="0" t="inlineStr">
        <is>
          <t>「5 1 」シートのH4:H21を車番毎にまとめる</t>
        </is>
      </c>
      <c r="D7" s="0" t="inlineStr">
        <is>
          <t>現在の順番を維持したまま車番グループ（10→12→13）にまとめてA5:R14に並び替え、A列番号を1〜10に振り直し</t>
        </is>
      </c>
      <c r="E7" s="0" t="inlineStr">
        <is>
          <t>初出順：10（1位）→12（2位）→13（3位）。グループ内は元の行順を維持。空行は除去してデータを詰めた。K列運賃計算式は全10行で維持済み</t>
        </is>
      </c>
      <c r="F7" s="0" t="inlineStr">
        <is>
          <t>5 1 !A5:H14で並び替え完了。10グループ(行5-8)、12グループ(行9-12)、13グループ(行13-14)</t>
        </is>
      </c>
    </row>
    <row r="8">
      <c r="A8" s="0" t="n">
        <v>9</v>
      </c>
      <c r="B8" s="263" t="n">
        <v>46143</v>
      </c>
      <c r="C8" s="0" t="inlineStr">
        <is>
          <t>「宵」セルを赤文字・黄色背景に書式変更</t>
        </is>
      </c>
      <c r="D8" s="0" t="inlineStr">
        <is>
          <t>5月全シートのG列で「宵」を含むセルを検索し、赤文字(#FF0000)・黄色背景(#FFFF00)を一括適用</t>
        </is>
      </c>
      <c r="E8" s="0" t="inlineStr">
        <is>
          <t>対象21セル：5 1 (1)、5 1 (2)(2)、5　2(1)、5　2(2)(6)、5　7(2)(3)、5　8(1)、5　8(2)(4)、5　11(2)(1)、5　12(2)(2)</t>
        </is>
      </c>
      <c r="F8" s="0" t="inlineStr">
        <is>
          <t>21セル全てに書式適用完了</t>
        </is>
      </c>
    </row>
    <row r="9">
      <c r="A9" s="0" t="n">
        <v>10</v>
      </c>
      <c r="B9" s="263" t="n">
        <v>46143</v>
      </c>
      <c r="C9" s="0" t="inlineStr">
        <is>
          <t>「5 1 」シートの運賃計算式チェック・修正</t>
        </is>
      </c>
      <c r="D9" s="0" t="inlineStr">
        <is>
          <t>J5:J14の運賃計算式をI列削除・行並び替えによるズレ・#REF!から全て修正</t>
        </is>
      </c>
      <c r="E9" s="0" t="inlineStr">
        <is>
          <t>問題：(1)I列削除でJ8・J12が#REF!、(2)行並び替え後も古い行番号を参照（J7→H14、J9→H7等）。修正：J5:J14を各行自身のH列(号車)とK列(距離)を参照する計算式に書き直し。全10行でrefCorrect=trueを確認</t>
        </is>
      </c>
      <c r="F9" s="0" t="inlineStr">
        <is>
          <t>J5:J14の計算式修正完了。K列に距離入力でJ列に正しく運賃が反映される状態</t>
        </is>
      </c>
    </row>
    <row r="10">
      <c r="A10" s="0" t="n">
        <v>11</v>
      </c>
      <c r="B10" s="263" t="n">
        <v>46143</v>
      </c>
      <c r="C10" s="0" t="inlineStr">
        <is>
          <t>「5 1 (2)」シートを車番毎に並び替え</t>
        </is>
      </c>
      <c r="D10" s="0" t="inlineStr">
        <is>
          <t>H列の初出順(303→101→202→505→333→666→777→888→7651→7657→7732)でグループ化、各グループ内は台数昇順(1台→＊2→＊3→＊4)に整列。A列番号1-31振り直し、K列計算式も修正</t>
        </is>
      </c>
      <c r="E10" s="0" t="inlineStr">
        <is>
          <t>31行のデータを行5-35に配置。K5:K35の運賃計算式も各行のH・L列を正しく参照するよう再設定</t>
        </is>
      </c>
      <c r="F10" s="0" t="inlineStr">
        <is>
          <t>5 1 (2)!H5:H35で正しい車番グループ順を確認。K列計算式refCorrect=true確認</t>
        </is>
      </c>
    </row>
    <row r="11">
      <c r="A11" s="0" t="n">
        <v>12</v>
      </c>
      <c r="B11" s="263" t="n">
        <v>46143</v>
      </c>
      <c r="C11" s="0" t="inlineStr">
        <is>
          <t>「5 1 (2)」K列運賃計算式の修正</t>
        </is>
      </c>
      <c r="D11" s="0" t="inlineStr">
        <is>
          <t>K6(手動入力6000→計算式に戻す)とK29(行挿入で計算式なし→追加)を修正</t>
        </is>
      </c>
      <c r="E11" s="0" t="inlineStr">
        <is>
          <t>列構造確認：J=距離、K=特記事項兼運賃、L=距離(入力列)。K列はL列を参照する計算式。K5=L5(42km)→22,000円(3t)で動作確認</t>
        </is>
      </c>
      <c r="F11" s="0" t="inlineStr">
        <is>
          <t>K6・K29の計算式修正完了。5 1 (2)はL列に距離入力でK列に運賃反映される状態</t>
        </is>
      </c>
    </row>
    <row r="12">
      <c r="A12" s="0" t="n">
        <v>13</v>
      </c>
      <c r="B12" s="263" t="n">
        <v>46143</v>
      </c>
      <c r="C12" s="0" t="inlineStr">
        <is>
          <t>運賃計算式のVLOOKUP近似一致バグを修正（5 1 (2)）</t>
        </is>
      </c>
      <c r="D12" s="0" t="inlineStr">
        <is>
          <t>VLOOKUP(距離, 上限テーブル, TRUE)→INDEX/MATCH(距離列&gt;=d, 0)に変更。距離テーブルが「上限km」設計のため近似一致では誤った行を参照していた</t>
        </is>
      </c>
      <c r="E12" s="0" t="inlineStr">
        <is>
          <t>旧：VLOOKUP(42,テーブル,TRUE)→40km行=22,000円(誤)。新：MATCH(1,(距離列&gt;=42),0)→50km行=25,000円(正)。5 1 (2) K5:K35全行修正。他シートにも同じ問題あり</t>
        </is>
      </c>
      <c r="F12" s="0" t="inlineStr">
        <is>
          <t>K5(303/3t/42km)=25,000円、K10(42km)=25,000円を確認。ユーザーに全シート一括修正を提案</t>
        </is>
      </c>
    </row>
    <row r="13">
      <c r="A13" s="0" t="n">
        <v>2</v>
      </c>
      <c r="B13" s="263" t="n">
        <v>46149</v>
      </c>
      <c r="C13" s="0" t="inlineStr">
        <is>
          <t>「5　7 (2)」シートのA6:A52の連番計算を修正してほしい</t>
        </is>
      </c>
      <c r="D13" s="0" t="inlineStr">
        <is>
          <t>A49・A51・A52の数式参照ズレを修正</t>
        </is>
      </c>
      <c r="E13" s="0" t="inlineStr">
        <is>
          <t>各行の数式はIF(B{n}="","",COUNTA($B$4:B{n-2}))が正しいパターン。A49のB49→B47、A51のB51→B49、A52のB52→B50にそれぞれ修正。行挿入/削除による参照ズレが原因。</t>
        </is>
      </c>
      <c r="F13" s="0" t="inlineStr">
        <is>
          <t>A49=41、A51=42、A52=42。数式パターン統一完了。番号重複はB列空行に起因する正常動作。</t>
        </is>
      </c>
    </row>
    <row r="14">
      <c r="A14" s="0" t="n">
        <v>3</v>
      </c>
      <c r="B14" s="263" t="n">
        <v>46149</v>
      </c>
      <c r="C14" s="0" t="inlineStr">
        <is>
          <t>38と42が2つずつある重複を修正してほしい</t>
        </is>
      </c>
      <c r="D14" s="0" t="inlineStr">
        <is>
          <t>A6:A52の数式を COUNTA($B$6:B{n}) に全行修正</t>
        </is>
      </c>
      <c r="E14" s="0" t="inlineStr">
        <is>
          <t>元の数式 COUNTA($B$4:B{n-2}) は前行までの累計で重複が発生する設計。$B$6:B{n}（自行まで）に変更することで1始まりの重複なし連番を実現。</t>
        </is>
      </c>
      <c r="F14" s="0" t="inlineStr">
        <is>
          <t>A6=1 ～ A52=42（空行スキップ）で重複なし。正常完了。</t>
        </is>
      </c>
    </row>
    <row r="15">
      <c r="A15" s="0" t="n">
        <v>14</v>
      </c>
      <c r="B15" s="263" t="n">
        <v>46153</v>
      </c>
      <c r="C15" s="0" t="inlineStr">
        <is>
          <t>H列（号車番号）とI列（氏名）を連動させてほしい。＊2・＊3は除外。</t>
        </is>
      </c>
      <c r="D15" s="0" t="inlineStr">
        <is>
          <t>「案件・ドライバー一覧」シートのL2:M13に号車↔氏名の対応表を作成。全23枚の(2)シートのI5:I15にXLOOKUP数式を設定。</t>
        </is>
      </c>
      <c r="E15" s="0" t="inlineStr">
        <is>
          <t>XLOOKUP参照先：案件・ドライバー一覧!$L$3:$L$13（号車）→$M$3:$M$13（氏名）。IFERROR対応で空欄は空白表示。</t>
        </is>
      </c>
      <c r="F15" s="0" t="inlineStr">
        <is>
          <t>完了：全(2)シートI5:I15がH列の号車番号に基づいて氏名を自動表示。対応表は案件・ドライバー一覧シートL列・M列で一元管理。</t>
        </is>
      </c>
    </row>
    <row r="16">
      <c r="A16" s="0" t="n">
        <v>15</v>
      </c>
      <c r="B16" s="263" t="n">
        <v>46153</v>
      </c>
      <c r="C16" s="0" t="inlineStr">
        <is>
          <t>(2)以外の5月シート全てにも号車↔氏名のXLOOKUPを設定してほしい。</t>
        </is>
      </c>
      <c r="D16" s="0" t="inlineStr">
        <is>
          <t>対応表にL17:M17（号車11→郡司）を追加。5月軽・5 1 ・5 2〜5 31 の全非(2)シート31枚の各I列に、H列の数値号車番号を参照するXLOOKUP数式を設定。全(2)シート・5 11シートの参照範囲も$L$3:$L$17に更新。</t>
        </is>
      </c>
      <c r="E16" s="0" t="inlineStr">
        <is>
          <t>対象行はシートごとに異なる（5 7は5,10,14行など）。14号車・2・8・9は対象外。10/12/13（大型）と303等（軽）を混在対応。</t>
        </is>
      </c>
      <c r="F16" s="0" t="inlineStr">
        <is>
          <t>完了。全55シートの号車↔氏名が自動表示。対応表は案件・ドライバー一覧L3:M17で一元管理（15件）。</t>
        </is>
      </c>
    </row>
    <row r="17">
      <c r="A17" s="0" t="n">
        <v>16</v>
      </c>
      <c r="B17" s="263" t="n">
        <v>46153</v>
      </c>
      <c r="C17" s="0" t="inlineStr">
        <is>
          <t>全シートのI列の文字色・太さを5 12シートに合わせてほしい。</t>
        </is>
      </c>
      <c r="D17" s="0" t="inlineStr">
        <is>
          <t>全55シート（(2)23枚＋非(2)32枚）のXLOOKUP数式セルのフォントを太字・#0000FFに統一。</t>
        </is>
      </c>
      <c r="E17" s="0" t="inlineStr">
        <is>
          <t>基準：5 12 (2)のI5:I14（bold, #0000FF）。(2)シートはI5:I15範囲、非(2)はシートごとの対象行を個別適用。</t>
        </is>
      </c>
      <c r="F17" s="0" t="inlineStr">
        <is>
          <t>完了。確認済み：5 12(I9)・5 3(I6)・5 20(2)(I5)・5 31(I5)すべてbold/#0000FF。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B1"/>
  <sheetViews>
    <sheetView zoomScaleNormal="100" workbookViewId="0">
      <selection activeCell="A1" sqref="A1"/>
    </sheetView>
  </sheetViews>
  <sheetFormatPr baseColWidth="8" defaultColWidth="8.75" defaultRowHeight="13.5"/>
  <cols>
    <col width="7.5" bestFit="1" customWidth="1" style="1" min="1" max="1"/>
    <col width="8.75" customWidth="1" style="2" min="2" max="16384"/>
  </cols>
  <sheetData>
    <row r="1">
      <c r="A1" s="20" t="n">
        <v>44470</v>
      </c>
      <c r="B1" s="20" t="n"/>
    </row>
  </sheetData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 codeName="Sheet2">
    <tabColor theme="0"/>
    <outlinePr summaryBelow="1" summaryRight="1"/>
    <pageSetUpPr/>
  </sheetPr>
  <dimension ref="A1:Q80"/>
  <sheetViews>
    <sheetView zoomScaleNormal="100" workbookViewId="0">
      <selection activeCell="J11" sqref="J11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8"/>
    <col width="6.625" customWidth="1" style="2" min="9" max="9"/>
    <col width="20.25" customWidth="1" style="2" min="10" max="10"/>
    <col width="8.75" customWidth="1" style="2" min="11" max="14"/>
    <col width="15.75" bestFit="1" customWidth="1" style="2" min="15" max="15"/>
    <col width="8.75" customWidth="1" style="2" min="16" max="16384"/>
  </cols>
  <sheetData>
    <row r="1"/>
    <row r="2" ht="15" customHeight="1" s="462" thickBot="1">
      <c r="B2" s="384" t="inlineStr">
        <is>
          <t>6月　軽カーゴ予定表</t>
        </is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inlineStr">
        <is>
          <t>距離</t>
        </is>
      </c>
      <c r="J3" s="6" t="inlineStr">
        <is>
          <t>特記事項</t>
        </is>
      </c>
      <c r="K3" s="29" t="inlineStr">
        <is>
          <t>距離</t>
        </is>
      </c>
      <c r="L3" s="30" t="inlineStr">
        <is>
          <t>終了地</t>
        </is>
      </c>
      <c r="M3" s="30" t="inlineStr">
        <is>
          <t>予定時間</t>
        </is>
      </c>
      <c r="N3" s="31" t="inlineStr">
        <is>
          <t>必要時間</t>
        </is>
      </c>
      <c r="O3" s="32" t="inlineStr">
        <is>
          <t>件数</t>
        </is>
      </c>
      <c r="P3" s="32" t="inlineStr">
        <is>
          <t>メモ</t>
        </is>
      </c>
      <c r="Q3" s="464" t="n"/>
    </row>
    <row r="4" ht="27" customHeight="1" s="462">
      <c r="A4" s="423" t="n">
        <v>1</v>
      </c>
      <c r="B4" s="76" t="n"/>
      <c r="C4" s="51" t="n"/>
      <c r="D4" s="51" t="n"/>
      <c r="E4" s="52" t="n"/>
      <c r="F4" s="52" t="n"/>
      <c r="G4" s="53" t="n"/>
      <c r="H4" s="54" t="n"/>
      <c r="I4" s="51" t="n"/>
      <c r="J4" s="51" t="n"/>
      <c r="K4" s="55" t="n"/>
      <c r="L4" s="388" t="n"/>
      <c r="M4" s="388" t="n"/>
      <c r="N4" s="388" t="n"/>
      <c r="O4" s="388" t="n"/>
      <c r="P4" s="388" t="n"/>
      <c r="Q4" s="465" t="n"/>
    </row>
    <row r="5" ht="27" customHeight="1" s="462">
      <c r="A5" s="423" t="n">
        <v>3</v>
      </c>
      <c r="B5" s="57" t="n"/>
      <c r="C5" s="441" t="n"/>
      <c r="D5" s="63" t="n"/>
      <c r="E5" s="441" t="n"/>
      <c r="F5" s="57" t="n"/>
      <c r="G5" s="59" t="n"/>
      <c r="H5" s="74" t="n">
        <v>2</v>
      </c>
      <c r="I5" s="57" t="n"/>
      <c r="J5" s="72" t="n"/>
      <c r="K5" s="61" t="n"/>
      <c r="L5" s="449" t="n"/>
      <c r="M5" s="449" t="n"/>
      <c r="N5" s="449" t="n"/>
      <c r="O5" s="449" t="n"/>
      <c r="P5" s="449" t="n"/>
    </row>
    <row r="6" ht="27" customHeight="1" s="462">
      <c r="A6" s="423" t="n">
        <v>4</v>
      </c>
      <c r="B6" s="57" t="n"/>
      <c r="C6" s="64" t="n"/>
      <c r="D6" s="63" t="n"/>
      <c r="E6" s="441" t="n"/>
      <c r="F6" s="57" t="n"/>
      <c r="G6" s="59" t="n"/>
      <c r="H6" s="74" t="n">
        <v>8</v>
      </c>
      <c r="I6" s="57" t="n"/>
      <c r="J6" s="72" t="n"/>
      <c r="K6" s="61" t="n"/>
      <c r="L6" s="449" t="n"/>
      <c r="M6" s="449" t="n"/>
      <c r="N6" s="449" t="n"/>
      <c r="O6" s="449" t="n"/>
      <c r="P6" s="449" t="n"/>
      <c r="Q6" s="449" t="n"/>
    </row>
    <row r="7" ht="27" customHeight="1" s="462">
      <c r="A7" s="423" t="n">
        <v>5</v>
      </c>
      <c r="B7" s="57" t="n"/>
      <c r="C7" s="441" t="n"/>
      <c r="D7" s="63" t="n"/>
      <c r="E7" s="441" t="n"/>
      <c r="F7" s="57" t="n"/>
      <c r="G7" s="68" t="n"/>
      <c r="H7" s="74" t="n">
        <v>9</v>
      </c>
      <c r="I7" s="57" t="n"/>
      <c r="J7" s="73" t="n"/>
      <c r="K7" s="61" t="n"/>
      <c r="L7" s="449" t="n"/>
      <c r="M7" s="449" t="n"/>
      <c r="N7" s="449" t="n"/>
      <c r="O7" s="449" t="n"/>
      <c r="P7" s="449" t="n"/>
    </row>
    <row r="8" ht="27" customHeight="1" s="462">
      <c r="A8" s="423" t="n">
        <v>6</v>
      </c>
      <c r="B8" s="57" t="n"/>
      <c r="C8" s="63" t="n"/>
      <c r="D8" s="441" t="n"/>
      <c r="E8" s="441" t="n"/>
      <c r="F8" s="57" t="n"/>
      <c r="G8" s="65" t="n"/>
      <c r="H8" s="74" t="n">
        <v>11</v>
      </c>
      <c r="I8" s="420" t="n"/>
      <c r="J8" s="72" t="n"/>
      <c r="K8" s="61" t="n"/>
      <c r="L8" s="449" t="n"/>
      <c r="M8" s="449" t="n"/>
      <c r="N8" s="449" t="n"/>
      <c r="O8" s="449" t="n"/>
      <c r="P8" s="449" t="n"/>
    </row>
    <row r="9" ht="27" customHeight="1" s="462">
      <c r="A9" s="423" t="n">
        <v>7</v>
      </c>
      <c r="B9" s="57" t="n"/>
      <c r="C9" s="63" t="n"/>
      <c r="D9" s="441" t="n"/>
      <c r="E9" s="441" t="n"/>
      <c r="F9" s="57" t="n"/>
      <c r="G9" s="65" t="n"/>
      <c r="H9" s="74" t="n">
        <v>12</v>
      </c>
      <c r="I9" s="318">
        <f>IFERROR(_xlfn.XLOOKUP(H9,案件・ドライバー一覧!$L$3:$L$17,案件・ドライバー一覧!$M$3:$M$17,""),"")</f>
        <v/>
      </c>
      <c r="J9" s="72" t="n"/>
      <c r="K9" s="61" t="n"/>
      <c r="L9" s="449" t="n"/>
      <c r="M9" s="449" t="n"/>
      <c r="N9" s="449" t="n"/>
      <c r="O9" s="449" t="n"/>
      <c r="P9" s="449" t="n"/>
      <c r="Q9" s="449" t="n"/>
    </row>
    <row r="10" ht="27" customHeight="1" s="462">
      <c r="A10" s="423" t="n">
        <v>8</v>
      </c>
      <c r="B10" s="57" t="n"/>
      <c r="C10" s="63" t="n"/>
      <c r="D10" s="441" t="n"/>
      <c r="E10" s="441" t="n"/>
      <c r="F10" s="57" t="n"/>
      <c r="G10" s="65" t="n"/>
      <c r="H10" s="74" t="n">
        <v>13</v>
      </c>
      <c r="I10" s="318">
        <f>IFERROR(_xlfn.XLOOKUP(H10,案件・ドライバー一覧!$L$3:$L$17,案件・ドライバー一覧!$M$3:$M$17,""),"")</f>
        <v/>
      </c>
      <c r="J10" s="72" t="n"/>
      <c r="K10" s="61" t="n"/>
      <c r="L10" s="449" t="n"/>
      <c r="M10" s="449" t="n"/>
      <c r="N10" s="449" t="n"/>
      <c r="O10" s="449" t="n"/>
      <c r="P10" s="449" t="n"/>
      <c r="Q10" s="449" t="n"/>
    </row>
    <row r="11" ht="27" customHeight="1" s="462">
      <c r="A11" s="423" t="n">
        <v>9</v>
      </c>
      <c r="B11" s="57" t="n"/>
      <c r="C11" s="63" t="n"/>
      <c r="D11" s="441" t="n"/>
      <c r="E11" s="441" t="n"/>
      <c r="F11" s="57" t="n"/>
      <c r="G11" s="65" t="n"/>
      <c r="H11" s="74" t="n">
        <v>14</v>
      </c>
      <c r="I11" s="57" t="n"/>
      <c r="J11" s="72" t="n"/>
      <c r="K11" s="61" t="n"/>
      <c r="L11" s="449" t="n"/>
      <c r="M11" s="449" t="n"/>
      <c r="N11" s="449" t="n"/>
      <c r="O11" s="449" t="n"/>
      <c r="P11" s="449" t="n"/>
      <c r="Q11" s="449" t="n"/>
    </row>
    <row r="12" ht="16.5" customHeight="1" s="462">
      <c r="A12" s="423" t="n">
        <v>10</v>
      </c>
      <c r="B12" s="57" t="n"/>
      <c r="C12" s="63" t="n"/>
      <c r="D12" s="441" t="n"/>
      <c r="E12" s="441" t="n"/>
      <c r="F12" s="57" t="n"/>
      <c r="G12" s="65" t="n"/>
      <c r="H12" s="74" t="n"/>
      <c r="I12" s="57" t="n"/>
      <c r="J12" s="72" t="n"/>
      <c r="K12" s="61" t="n"/>
      <c r="L12" s="449" t="n"/>
      <c r="M12" s="449" t="n"/>
      <c r="N12" s="449" t="n"/>
      <c r="O12" s="449" t="n"/>
      <c r="P12" s="449" t="n"/>
      <c r="Q12" s="449" t="n"/>
    </row>
    <row r="13" ht="27" customHeight="1" s="462">
      <c r="A13" s="423" t="n">
        <v>11</v>
      </c>
      <c r="B13" s="57" t="n"/>
      <c r="C13" s="63" t="n"/>
      <c r="D13" s="441" t="n"/>
      <c r="E13" s="441" t="n"/>
      <c r="F13" s="57" t="n"/>
      <c r="G13" s="65" t="n"/>
      <c r="H13" s="74" t="inlineStr">
        <is>
          <t>2＊2</t>
        </is>
      </c>
      <c r="I13" s="57" t="n"/>
      <c r="J13" s="72" t="n"/>
      <c r="K13" s="61" t="n"/>
      <c r="L13" s="449" t="n"/>
      <c r="M13" s="449" t="n"/>
      <c r="N13" s="449" t="n"/>
      <c r="O13" s="449" t="n"/>
      <c r="P13" s="449" t="n"/>
      <c r="Q13" s="449" t="n"/>
    </row>
    <row r="14" ht="27" customHeight="1" s="462">
      <c r="A14" s="423" t="n">
        <v>12</v>
      </c>
      <c r="B14" s="57" t="n"/>
      <c r="C14" s="63" t="n"/>
      <c r="D14" s="441" t="n"/>
      <c r="E14" s="441" t="n"/>
      <c r="F14" s="57" t="n"/>
      <c r="G14" s="65" t="n"/>
      <c r="H14" s="74" t="inlineStr">
        <is>
          <t>8＊2</t>
        </is>
      </c>
      <c r="I14" s="57" t="n"/>
      <c r="J14" s="72" t="n"/>
      <c r="K14" s="61" t="n"/>
      <c r="L14" s="449" t="n"/>
      <c r="M14" s="449" t="n"/>
      <c r="N14" s="449" t="n"/>
      <c r="O14" s="449" t="n"/>
      <c r="P14" s="449" t="n"/>
      <c r="Q14" s="449" t="n"/>
    </row>
    <row r="15" ht="27" customHeight="1" s="462">
      <c r="A15" s="423" t="n">
        <v>13</v>
      </c>
      <c r="B15" s="57" t="n"/>
      <c r="C15" s="63" t="n"/>
      <c r="D15" s="441" t="n"/>
      <c r="E15" s="441" t="n"/>
      <c r="F15" s="57" t="n"/>
      <c r="G15" s="65" t="n"/>
      <c r="H15" s="74" t="inlineStr">
        <is>
          <t>9＊2</t>
        </is>
      </c>
      <c r="I15" s="57" t="n"/>
      <c r="J15" s="72" t="n"/>
      <c r="K15" s="61" t="n"/>
      <c r="L15" s="449" t="n"/>
      <c r="M15" s="449" t="n"/>
      <c r="N15" s="449" t="n"/>
      <c r="O15" s="449" t="n"/>
      <c r="P15" s="449" t="n"/>
      <c r="Q15" s="449" t="n"/>
    </row>
    <row r="16" ht="27" customHeight="1" s="462">
      <c r="A16" s="423" t="n">
        <v>14</v>
      </c>
      <c r="B16" s="57" t="n"/>
      <c r="C16" s="63" t="n"/>
      <c r="D16" s="441" t="n"/>
      <c r="E16" s="441" t="n"/>
      <c r="F16" s="57" t="n"/>
      <c r="G16" s="65" t="n"/>
      <c r="H16" s="74" t="inlineStr">
        <is>
          <t>11＊2</t>
        </is>
      </c>
      <c r="I16" s="57" t="n"/>
      <c r="J16" s="72" t="n"/>
      <c r="K16" s="61" t="n"/>
      <c r="L16" s="449" t="n"/>
      <c r="M16" s="449" t="n"/>
      <c r="N16" s="449" t="n"/>
      <c r="O16" s="449" t="n"/>
      <c r="P16" s="449" t="n"/>
      <c r="Q16" s="449" t="n"/>
    </row>
    <row r="17" ht="27" customHeight="1" s="462">
      <c r="A17" s="423" t="n">
        <v>15</v>
      </c>
      <c r="B17" s="57" t="n"/>
      <c r="C17" s="64" t="n"/>
      <c r="D17" s="441" t="n"/>
      <c r="E17" s="63" t="n"/>
      <c r="F17" s="441" t="n"/>
      <c r="G17" s="59" t="n"/>
      <c r="H17" s="74" t="inlineStr">
        <is>
          <t>12＊2</t>
        </is>
      </c>
      <c r="I17" s="57" t="n"/>
      <c r="J17" s="72" t="n"/>
      <c r="K17" s="61" t="n"/>
      <c r="L17" s="449" t="n"/>
      <c r="M17" s="449" t="n"/>
      <c r="N17" s="449" t="n"/>
      <c r="O17" s="449" t="n"/>
      <c r="P17" s="449" t="n"/>
      <c r="Q17" s="449" t="n"/>
    </row>
    <row r="18" ht="27" customHeight="1" s="462">
      <c r="A18" s="423" t="n">
        <v>16</v>
      </c>
      <c r="B18" s="57" t="n"/>
      <c r="C18" s="63" t="n"/>
      <c r="D18" s="441" t="n"/>
      <c r="E18" s="441" t="n"/>
      <c r="F18" s="57" t="n"/>
      <c r="G18" s="65" t="n"/>
      <c r="H18" s="74" t="inlineStr">
        <is>
          <t>13＊2</t>
        </is>
      </c>
      <c r="I18" s="57" t="n"/>
      <c r="J18" s="72" t="n"/>
      <c r="K18" s="61" t="n"/>
      <c r="L18" s="449" t="n"/>
      <c r="M18" s="449" t="n"/>
      <c r="N18" s="449" t="n"/>
      <c r="O18" s="449" t="n"/>
      <c r="P18" s="449" t="n"/>
      <c r="Q18" s="449" t="n"/>
    </row>
    <row r="19" ht="27" customHeight="1" s="462">
      <c r="A19" s="423" t="n">
        <v>17</v>
      </c>
      <c r="B19" s="57" t="n"/>
      <c r="C19" s="63" t="n"/>
      <c r="D19" s="441" t="n"/>
      <c r="E19" s="441" t="n"/>
      <c r="F19" s="57" t="n"/>
      <c r="G19" s="65" t="n"/>
      <c r="H19" s="74" t="inlineStr">
        <is>
          <t>14＊2</t>
        </is>
      </c>
      <c r="I19" s="57" t="n"/>
      <c r="J19" s="72" t="n"/>
      <c r="K19" s="61" t="n"/>
      <c r="L19" s="449" t="n"/>
      <c r="M19" s="449" t="n"/>
      <c r="N19" s="449" t="n"/>
      <c r="O19" s="449" t="n"/>
      <c r="P19" s="449" t="n"/>
      <c r="Q19" s="449" t="n"/>
    </row>
    <row r="20" ht="15" customHeight="1" s="462">
      <c r="A20" s="423" t="n">
        <v>18</v>
      </c>
      <c r="B20" s="57" t="n"/>
      <c r="C20" s="63" t="n"/>
      <c r="D20" s="441" t="n"/>
      <c r="E20" s="441" t="n"/>
      <c r="F20" s="57" t="n"/>
      <c r="G20" s="65" t="n"/>
      <c r="H20" s="74" t="n"/>
      <c r="I20" s="57" t="n"/>
      <c r="J20" s="72" t="n"/>
      <c r="K20" s="61" t="n"/>
      <c r="L20" s="449" t="n"/>
      <c r="M20" s="449" t="n"/>
      <c r="N20" s="449" t="n"/>
      <c r="O20" s="449" t="n"/>
      <c r="P20" s="449" t="n"/>
      <c r="Q20" s="449" t="n"/>
    </row>
    <row r="21" ht="27" customHeight="1" s="462">
      <c r="A21" s="423" t="n">
        <v>19</v>
      </c>
      <c r="B21" s="57" t="n"/>
      <c r="C21" s="63" t="n"/>
      <c r="D21" s="441" t="n"/>
      <c r="E21" s="441" t="n"/>
      <c r="F21" s="57" t="n"/>
      <c r="G21" s="65" t="n"/>
      <c r="H21" s="74" t="inlineStr">
        <is>
          <t>2＊3</t>
        </is>
      </c>
      <c r="I21" s="57" t="n"/>
      <c r="J21" s="72" t="n"/>
      <c r="K21" s="61" t="n"/>
      <c r="L21" s="449" t="n"/>
      <c r="M21" s="449" t="n"/>
      <c r="N21" s="449" t="n"/>
      <c r="O21" s="449" t="n"/>
      <c r="P21" s="449" t="n"/>
      <c r="Q21" s="449" t="n"/>
    </row>
    <row r="22" ht="27" customHeight="1" s="462">
      <c r="A22" s="423" t="n">
        <v>20</v>
      </c>
      <c r="B22" s="57" t="n"/>
      <c r="C22" s="63" t="n"/>
      <c r="D22" s="441" t="n"/>
      <c r="E22" s="441" t="n"/>
      <c r="F22" s="57" t="n"/>
      <c r="G22" s="65" t="n"/>
      <c r="H22" s="74" t="inlineStr">
        <is>
          <t>8＊3</t>
        </is>
      </c>
      <c r="I22" s="57" t="n"/>
      <c r="J22" s="72" t="n"/>
      <c r="K22" s="61" t="n"/>
      <c r="L22" s="449" t="n"/>
      <c r="M22" s="449" t="n"/>
      <c r="N22" s="449" t="n"/>
      <c r="O22" s="449" t="n"/>
      <c r="P22" s="449" t="n"/>
      <c r="Q22" s="449" t="n"/>
    </row>
    <row r="23" ht="27" customHeight="1" s="462">
      <c r="A23" s="423" t="n">
        <v>21</v>
      </c>
      <c r="B23" s="57" t="n"/>
      <c r="C23" s="63" t="n"/>
      <c r="D23" s="441" t="n"/>
      <c r="E23" s="441" t="n"/>
      <c r="F23" s="57" t="n"/>
      <c r="G23" s="65" t="n"/>
      <c r="H23" s="74" t="inlineStr">
        <is>
          <t>9＊3</t>
        </is>
      </c>
      <c r="I23" s="57" t="n"/>
      <c r="J23" s="72" t="n"/>
      <c r="K23" s="61" t="n"/>
      <c r="L23" s="449" t="n"/>
      <c r="M23" s="449" t="n"/>
      <c r="N23" s="449" t="n"/>
      <c r="O23" s="449" t="n"/>
      <c r="P23" s="449" t="n"/>
      <c r="Q23" s="449" t="n"/>
    </row>
    <row r="24" ht="27" customHeight="1" s="462">
      <c r="A24" s="423" t="n">
        <v>22</v>
      </c>
      <c r="B24" s="57" t="n"/>
      <c r="C24" s="62" t="n"/>
      <c r="D24" s="63" t="n"/>
      <c r="E24" s="441" t="n"/>
      <c r="F24" s="57" t="n"/>
      <c r="G24" s="66" t="n"/>
      <c r="H24" s="74" t="inlineStr">
        <is>
          <t>11＊3</t>
        </is>
      </c>
      <c r="I24" s="57" t="n"/>
      <c r="J24" s="73" t="n"/>
      <c r="K24" s="61" t="n"/>
      <c r="L24" s="449" t="n"/>
      <c r="M24" s="449" t="n"/>
      <c r="N24" s="449" t="n"/>
      <c r="O24" s="449" t="n"/>
      <c r="P24" s="449" t="n"/>
    </row>
    <row r="25" ht="27" customHeight="1" s="462">
      <c r="A25" s="423" t="n">
        <v>23</v>
      </c>
      <c r="B25" s="57" t="n"/>
      <c r="C25" s="63" t="n"/>
      <c r="D25" s="64" t="n"/>
      <c r="E25" s="420" t="n"/>
      <c r="F25" s="57" t="n"/>
      <c r="G25" s="66" t="n"/>
      <c r="H25" s="74" t="inlineStr">
        <is>
          <t>12＊3</t>
        </is>
      </c>
      <c r="I25" s="420" t="n"/>
      <c r="J25" s="73" t="n"/>
      <c r="K25" s="61" t="n"/>
      <c r="L25" s="449" t="n"/>
      <c r="M25" s="449" t="n"/>
      <c r="N25" s="449" t="n"/>
      <c r="O25" s="449" t="n"/>
      <c r="P25" s="449" t="n"/>
    </row>
    <row r="26" ht="27" customHeight="1" s="462">
      <c r="A26" s="423" t="n">
        <v>24</v>
      </c>
      <c r="B26" s="57" t="n"/>
      <c r="C26" s="420" t="n"/>
      <c r="D26" s="63" t="n"/>
      <c r="E26" s="441" t="n"/>
      <c r="F26" s="57" t="n"/>
      <c r="G26" s="65" t="n"/>
      <c r="H26" s="74" t="inlineStr">
        <is>
          <t>13＊3</t>
        </is>
      </c>
      <c r="I26" s="57" t="n"/>
      <c r="J26" s="72" t="n"/>
      <c r="K26" s="61" t="n"/>
      <c r="L26" s="449" t="n"/>
      <c r="M26" s="449" t="n"/>
      <c r="N26" s="449" t="n"/>
      <c r="O26" s="449" t="n"/>
      <c r="P26" s="449" t="n"/>
    </row>
    <row r="27" ht="27" customHeight="1" s="462">
      <c r="A27" s="423" t="n">
        <v>25</v>
      </c>
      <c r="B27" s="57" t="n"/>
      <c r="C27" s="57" t="n"/>
      <c r="D27" s="441" t="n"/>
      <c r="E27" s="441" t="n"/>
      <c r="F27" s="57" t="n"/>
      <c r="G27" s="66" t="n"/>
      <c r="H27" s="74" t="inlineStr">
        <is>
          <t>14＊3</t>
        </is>
      </c>
      <c r="I27" s="57" t="n"/>
      <c r="J27" s="72" t="n"/>
      <c r="K27" s="61" t="n"/>
      <c r="L27" s="449" t="n"/>
      <c r="M27" s="449" t="n"/>
      <c r="N27" s="449" t="n"/>
      <c r="O27" s="449" t="n"/>
      <c r="P27" s="449" t="n"/>
    </row>
    <row r="28" ht="27.75" customHeight="1" s="462">
      <c r="A28" s="423" t="n">
        <v>26</v>
      </c>
      <c r="B28" s="441" t="n"/>
      <c r="C28" s="440" t="n"/>
      <c r="D28" s="441" t="n"/>
      <c r="E28" s="440" t="n"/>
      <c r="F28" s="57" t="n"/>
      <c r="G28" s="65" t="n"/>
      <c r="H28" s="74" t="n"/>
      <c r="I28" s="420" t="n"/>
      <c r="J28" s="72" t="n"/>
      <c r="K28" s="61" t="n"/>
      <c r="L28" s="449" t="n"/>
      <c r="M28" s="449" t="n"/>
      <c r="N28" s="449" t="n"/>
      <c r="O28" s="449" t="n"/>
      <c r="P28" s="449" t="n"/>
    </row>
    <row r="29" ht="27" customHeight="1" s="462">
      <c r="A29" s="423" t="n">
        <v>27</v>
      </c>
      <c r="B29" s="441" t="n"/>
      <c r="C29" s="63" t="n"/>
      <c r="D29" s="440" t="n"/>
      <c r="E29" s="441" t="n"/>
      <c r="F29" s="57" t="n"/>
      <c r="G29" s="59" t="n"/>
      <c r="H29" s="60" t="n"/>
      <c r="I29" s="57" t="n"/>
      <c r="J29" s="73" t="n"/>
      <c r="K29" s="61" t="n"/>
      <c r="L29" s="449" t="n"/>
      <c r="M29" s="449" t="n"/>
      <c r="N29" s="449" t="n"/>
      <c r="O29" s="449" t="n"/>
      <c r="P29" s="449" t="n"/>
    </row>
    <row r="30" ht="27" customHeight="1" s="462">
      <c r="A30" s="423" t="n">
        <v>28</v>
      </c>
      <c r="B30" s="441" t="n"/>
      <c r="C30" s="63" t="n"/>
      <c r="D30" s="440" t="n"/>
      <c r="E30" s="441" t="n"/>
      <c r="F30" s="57" t="n"/>
      <c r="G30" s="59" t="n"/>
      <c r="H30" s="60" t="n"/>
      <c r="I30" s="57" t="n"/>
      <c r="J30" s="73" t="n"/>
      <c r="K30" s="61" t="n"/>
      <c r="L30" s="449" t="n"/>
      <c r="M30" s="449" t="n"/>
      <c r="N30" s="449" t="n"/>
      <c r="O30" s="449" t="n"/>
      <c r="P30" s="449" t="n"/>
      <c r="Q30" s="449" t="n"/>
    </row>
    <row r="31" ht="27" customHeight="1" s="462">
      <c r="A31" s="423" t="n">
        <v>29</v>
      </c>
      <c r="B31" s="441" t="n"/>
      <c r="C31" s="63" t="n"/>
      <c r="D31" s="440" t="n"/>
      <c r="E31" s="441" t="n"/>
      <c r="F31" s="57" t="n"/>
      <c r="G31" s="59" t="n"/>
      <c r="H31" s="60" t="n"/>
      <c r="I31" s="57" t="n"/>
      <c r="J31" s="73" t="n"/>
      <c r="K31" s="61" t="n"/>
      <c r="L31" s="449" t="n"/>
      <c r="M31" s="449" t="n"/>
      <c r="N31" s="449" t="n"/>
      <c r="O31" s="449" t="n"/>
      <c r="P31" s="449" t="n"/>
      <c r="Q31" s="449" t="n"/>
    </row>
    <row r="32" ht="27" customHeight="1" s="462">
      <c r="A32" s="423" t="n">
        <v>30</v>
      </c>
      <c r="B32" s="420" t="n"/>
      <c r="C32" s="420" t="n"/>
      <c r="D32" s="420" t="n"/>
      <c r="E32" s="420" t="n"/>
      <c r="F32" s="420" t="n"/>
      <c r="G32" s="69" t="n"/>
      <c r="H32" s="70" t="n"/>
      <c r="I32" s="420" t="n"/>
      <c r="J32" s="22" t="n"/>
      <c r="K32" s="61" t="n"/>
      <c r="L32" s="449" t="n"/>
      <c r="M32" s="449" t="n"/>
      <c r="N32" s="449" t="n"/>
      <c r="O32" s="449" t="n"/>
      <c r="P32" s="449" t="n"/>
    </row>
    <row r="33">
      <c r="B33" s="18" t="n"/>
      <c r="C33" s="18" t="n"/>
      <c r="D33" s="18" t="n"/>
      <c r="E33" s="18" t="n"/>
      <c r="F33" s="18" t="n"/>
      <c r="G33" s="19" t="n"/>
      <c r="H33" s="33" t="n"/>
      <c r="I33" s="18" t="n"/>
      <c r="J33" s="18" t="n"/>
    </row>
    <row r="34" ht="14.25" customHeight="1" s="462" thickBot="1"/>
    <row r="35">
      <c r="B35" s="22" t="n"/>
      <c r="C35" s="25" t="n"/>
      <c r="D35" s="25" t="inlineStr">
        <is>
          <t>現在待機場所</t>
        </is>
      </c>
      <c r="E35" s="25" t="inlineStr">
        <is>
          <t>待機予定場所</t>
        </is>
      </c>
      <c r="F35" s="466" t="n"/>
      <c r="H35" s="375" t="inlineStr">
        <is>
          <t>目標距離</t>
        </is>
      </c>
      <c r="I35" s="467" t="n"/>
      <c r="J35" s="377" t="n">
        <v>550</v>
      </c>
    </row>
    <row r="36" ht="14.25" customHeight="1" s="462" thickBot="1">
      <c r="B36" s="26" t="inlineStr">
        <is>
          <t>2(255)</t>
        </is>
      </c>
      <c r="C36" s="21" t="inlineStr">
        <is>
          <t>山岸</t>
        </is>
      </c>
      <c r="D36" s="34" t="n"/>
      <c r="E36" s="34" t="n"/>
      <c r="F36" s="466" t="n"/>
      <c r="H36" s="468" t="n"/>
      <c r="I36" s="469" t="n"/>
      <c r="J36" s="470" t="n"/>
    </row>
    <row r="37">
      <c r="B37" s="26" t="inlineStr">
        <is>
          <t>8(254)</t>
        </is>
      </c>
      <c r="C37" s="21" t="inlineStr">
        <is>
          <t>砂川</t>
        </is>
      </c>
      <c r="D37" s="35" t="n"/>
      <c r="E37" s="35" t="n"/>
      <c r="F37" s="466" t="n"/>
      <c r="H37" s="368" t="inlineStr">
        <is>
          <t>残距離</t>
        </is>
      </c>
      <c r="I37" s="471" t="n"/>
      <c r="J37" s="354">
        <f>550-SUM(K3:K32)-SUM(#REF!)</f>
        <v/>
      </c>
    </row>
    <row r="38" ht="14.25" customHeight="1" s="462" thickBot="1">
      <c r="B38" s="26" t="inlineStr">
        <is>
          <t>9(256)</t>
        </is>
      </c>
      <c r="C38" s="21" t="inlineStr">
        <is>
          <t>前川</t>
        </is>
      </c>
      <c r="D38" s="35" t="n"/>
      <c r="E38" s="35" t="n"/>
      <c r="F38" s="466" t="n"/>
      <c r="H38" s="468" t="n"/>
      <c r="I38" s="469" t="n"/>
      <c r="J38" s="472" t="n"/>
    </row>
    <row r="39" ht="14.25" customHeight="1" s="462" thickBot="1">
      <c r="B39" s="26" t="inlineStr">
        <is>
          <t>10(257)</t>
        </is>
      </c>
      <c r="C39" s="35" t="n"/>
      <c r="D39" s="35" t="n"/>
      <c r="E39" s="35" t="n"/>
      <c r="F39" s="466" t="n"/>
    </row>
    <row r="40">
      <c r="B40" s="26" t="inlineStr">
        <is>
          <t>11(258)</t>
        </is>
      </c>
      <c r="C40" s="21" t="inlineStr">
        <is>
          <t>郡司</t>
        </is>
      </c>
      <c r="D40" s="35" t="n"/>
      <c r="E40" s="35" t="n"/>
      <c r="F40" s="466" t="n"/>
      <c r="H40" s="350" t="inlineStr">
        <is>
          <t>依頼件数</t>
        </is>
      </c>
      <c r="I40" s="467" t="n"/>
      <c r="J40" s="354">
        <f>SUM(O3:O32)+SUM(SUM(#REF!))</f>
        <v/>
      </c>
    </row>
    <row r="41" ht="14.25" customHeight="1" s="462" thickBot="1">
      <c r="B41" s="26" t="inlineStr">
        <is>
          <t>12(736)</t>
        </is>
      </c>
      <c r="C41" s="21" t="n"/>
      <c r="D41" s="35" t="n"/>
      <c r="E41" s="35" t="n"/>
      <c r="F41" s="466" t="n"/>
      <c r="H41" s="468" t="n"/>
      <c r="I41" s="469" t="n"/>
      <c r="J41" s="472" t="n"/>
    </row>
    <row r="42" ht="16.5" customHeight="1" s="462">
      <c r="B42" s="26" t="inlineStr">
        <is>
          <t>13(737)</t>
        </is>
      </c>
      <c r="C42" s="21" t="n"/>
      <c r="D42" s="35" t="n"/>
      <c r="E42" s="35" t="n"/>
      <c r="F42" s="466" t="n"/>
      <c r="H42" s="38" t="n"/>
      <c r="I42" s="38" t="n"/>
      <c r="J42" s="39" t="n"/>
    </row>
    <row r="43" ht="14.25" customHeight="1" s="462" thickBot="1"/>
    <row r="44">
      <c r="C44" s="473" t="inlineStr">
        <is>
          <t>合計額/380</t>
        </is>
      </c>
      <c r="D44" s="358">
        <f>SUM(G44)</f>
        <v/>
      </c>
      <c r="F44" s="360" t="inlineStr">
        <is>
          <t>売り上げ額</t>
        </is>
      </c>
      <c r="G44" s="362">
        <f>SUM(SUM(J4:J32))+SUM(#REF!)</f>
        <v/>
      </c>
      <c r="H44" s="465" t="n"/>
      <c r="I44" s="467" t="n"/>
    </row>
    <row r="45" ht="14.25" customHeight="1" s="462" thickBot="1">
      <c r="C45" s="474" t="n"/>
      <c r="D45" s="475" t="n"/>
      <c r="F45" s="468" t="n"/>
      <c r="G45" s="476" t="n"/>
      <c r="H45" s="477" t="n"/>
      <c r="I45" s="469" t="n"/>
    </row>
    <row r="46">
      <c r="C46" s="478" t="inlineStr">
        <is>
          <t>前日までの売上合計額</t>
        </is>
      </c>
      <c r="D46" s="479">
        <f>SUM(B55)</f>
        <v/>
      </c>
    </row>
    <row r="47" ht="14.25" customHeight="1" s="462" thickBot="1">
      <c r="C47" s="480" t="n"/>
      <c r="D47" s="480" t="n"/>
      <c r="F47" s="420" t="inlineStr">
        <is>
          <t>金井（55)</t>
        </is>
      </c>
      <c r="G47" s="345" t="n"/>
      <c r="H47" s="466" t="n"/>
    </row>
    <row r="48" ht="14.25" customHeight="1" s="462" thickTop="1">
      <c r="D48" s="346">
        <f>D44+D46</f>
        <v/>
      </c>
      <c r="F48" s="420" t="inlineStr">
        <is>
          <t>粟津(55)</t>
        </is>
      </c>
      <c r="G48" s="340" t="n"/>
      <c r="H48" s="466" t="n"/>
    </row>
    <row r="49">
      <c r="F49" s="420" t="inlineStr">
        <is>
          <t>砂川(50)</t>
        </is>
      </c>
      <c r="G49" s="340" t="n"/>
      <c r="H49" s="466" t="n"/>
    </row>
    <row r="50">
      <c r="C50" s="2" t="inlineStr">
        <is>
          <t>高代</t>
        </is>
      </c>
      <c r="F50" s="420" t="inlineStr">
        <is>
          <t>前川(50)</t>
        </is>
      </c>
      <c r="G50" s="340" t="n"/>
      <c r="H50" s="466" t="n"/>
    </row>
    <row r="51">
      <c r="C51" s="2" t="inlineStr">
        <is>
          <t>返還代</t>
        </is>
      </c>
      <c r="F51" s="420" t="inlineStr">
        <is>
          <t>佐藤(50)</t>
        </is>
      </c>
      <c r="G51" s="345" t="n"/>
      <c r="H51" s="466" t="n"/>
    </row>
    <row r="52">
      <c r="C52" s="2" t="inlineStr">
        <is>
          <t>回収率</t>
        </is>
      </c>
      <c r="D52" s="50">
        <f>D51/D50</f>
        <v/>
      </c>
      <c r="F52" s="420" t="inlineStr">
        <is>
          <t>末次(55)</t>
        </is>
      </c>
      <c r="G52" s="340" t="n"/>
      <c r="H52" s="466" t="n"/>
    </row>
    <row r="53">
      <c r="C53" s="2" t="inlineStr">
        <is>
          <t>費</t>
        </is>
      </c>
      <c r="D53" s="2">
        <f>D50-D51</f>
        <v/>
      </c>
      <c r="F53" s="420" t="inlineStr">
        <is>
          <t>筒井(75)</t>
        </is>
      </c>
      <c r="G53" s="340" t="n"/>
      <c r="H53" s="466" t="n"/>
    </row>
    <row r="54">
      <c r="F54" s="420" t="inlineStr">
        <is>
          <t>山岸(40)</t>
        </is>
      </c>
      <c r="G54" s="340" t="n"/>
      <c r="H54" s="466" t="n"/>
    </row>
    <row r="55" ht="23.25" customHeight="1" s="462">
      <c r="B55" s="71" t="n"/>
      <c r="F55" s="420" t="inlineStr">
        <is>
          <t>多苗(30)</t>
        </is>
      </c>
      <c r="G55" s="340" t="n"/>
      <c r="H55" s="466" t="n"/>
      <c r="K55" s="2" t="inlineStr">
        <is>
          <t> </t>
        </is>
      </c>
    </row>
    <row r="56" ht="14.25" customHeight="1" s="462" thickBot="1"/>
    <row r="57" ht="18.75" customHeight="1" s="462" thickBot="1">
      <c r="B57" s="82" t="n"/>
      <c r="C57" s="83" t="inlineStr">
        <is>
          <t>Dr/状況</t>
        </is>
      </c>
      <c r="D57" s="83" t="inlineStr">
        <is>
          <t>現在待機場所</t>
        </is>
      </c>
      <c r="E57" s="84" t="inlineStr">
        <is>
          <t>待機予定場所</t>
        </is>
      </c>
      <c r="F57" s="85" t="n"/>
    </row>
    <row r="58" ht="24.75" customHeight="1" s="462" thickBot="1" thickTop="1">
      <c r="B58" s="481" t="inlineStr">
        <is>
          <t>軽トラック</t>
        </is>
      </c>
      <c r="C58" s="482" t="n"/>
      <c r="D58" s="482" t="n"/>
      <c r="E58" s="482" t="n"/>
      <c r="F58" s="483" t="n"/>
    </row>
    <row r="59" ht="24" customHeight="1" s="462" thickTop="1">
      <c r="B59" s="86" t="inlineStr">
        <is>
          <t>①2号車(255)</t>
        </is>
      </c>
      <c r="C59" s="87" t="inlineStr">
        <is>
          <t>空き</t>
        </is>
      </c>
      <c r="D59" s="88" t="n"/>
      <c r="E59" s="89" t="n"/>
      <c r="F59" s="90" t="n"/>
    </row>
    <row r="60" ht="21" customHeight="1" s="462">
      <c r="B60" s="91" t="inlineStr">
        <is>
          <t>②8号車(254)</t>
        </is>
      </c>
      <c r="C60" s="92" t="inlineStr">
        <is>
          <t>山岸</t>
        </is>
      </c>
      <c r="D60" s="93" t="n"/>
      <c r="E60" s="348" t="n"/>
      <c r="F60" s="94" t="n"/>
    </row>
    <row r="61" ht="23.25" customHeight="1" s="462">
      <c r="B61" s="91" t="inlineStr">
        <is>
          <t>③9号車(256)</t>
        </is>
      </c>
      <c r="C61" s="87" t="inlineStr">
        <is>
          <t>空き</t>
        </is>
      </c>
      <c r="D61" s="93" t="n"/>
      <c r="E61" s="348" t="n"/>
      <c r="F61" s="94" t="n"/>
    </row>
    <row r="62" ht="21" customHeight="1" s="462">
      <c r="B62" s="91" t="inlineStr">
        <is>
          <t>④10号車(257)</t>
        </is>
      </c>
      <c r="C62" s="95" t="inlineStr">
        <is>
          <t>峯下(前田corp)</t>
        </is>
      </c>
      <c r="D62" s="93" t="n"/>
      <c r="E62" s="348" t="n"/>
      <c r="F62" s="94" t="n"/>
    </row>
    <row r="63" ht="23.25" customHeight="1" s="462">
      <c r="B63" s="91" t="inlineStr">
        <is>
          <t>⑤11号車(258)</t>
        </is>
      </c>
      <c r="C63" s="87" t="inlineStr">
        <is>
          <t>空き</t>
        </is>
      </c>
      <c r="D63" s="93" t="n"/>
      <c r="E63" s="348" t="n"/>
      <c r="F63" s="94" t="n"/>
    </row>
    <row r="64" ht="23.25" customHeight="1" s="462">
      <c r="B64" s="91" t="inlineStr">
        <is>
          <t>⑥12号車(736)</t>
        </is>
      </c>
      <c r="C64" s="87" t="inlineStr">
        <is>
          <t>空き</t>
        </is>
      </c>
      <c r="D64" s="93" t="inlineStr">
        <is>
          <t>前田休み</t>
        </is>
      </c>
      <c r="E64" s="348" t="n"/>
      <c r="F64" s="94" t="n"/>
    </row>
    <row r="65" ht="21" customHeight="1" s="462">
      <c r="B65" s="91" t="inlineStr">
        <is>
          <t>⑦13号車(737)</t>
        </is>
      </c>
      <c r="C65" s="95" t="inlineStr">
        <is>
          <t xml:space="preserve">丸井(前田corp) </t>
        </is>
      </c>
      <c r="D65" s="93" t="n"/>
      <c r="E65" s="348" t="n"/>
      <c r="F65" s="94" t="n"/>
    </row>
    <row r="66" ht="21.75" customHeight="1" s="462" thickBot="1">
      <c r="B66" s="96" t="inlineStr">
        <is>
          <t>⑧14号車(738)</t>
        </is>
      </c>
      <c r="C66" s="92" t="inlineStr">
        <is>
          <t>森本</t>
        </is>
      </c>
      <c r="D66" s="97" t="n"/>
      <c r="E66" s="98" t="n"/>
      <c r="F66" s="99" t="n"/>
    </row>
    <row r="67" ht="24.75" customHeight="1" s="462" thickBot="1" thickTop="1">
      <c r="B67" s="481" t="inlineStr">
        <is>
          <t>1ｔ平トラックＰＧ</t>
        </is>
      </c>
      <c r="C67" s="482" t="n"/>
      <c r="D67" s="482" t="n"/>
      <c r="E67" s="482" t="n"/>
      <c r="F67" s="483" t="n"/>
    </row>
    <row r="68" ht="21.75" customHeight="1" s="462" thickTop="1">
      <c r="B68" s="100" t="inlineStr">
        <is>
          <t>①7651</t>
        </is>
      </c>
      <c r="C68" s="92" t="inlineStr">
        <is>
          <t>坂本</t>
        </is>
      </c>
      <c r="D68" s="101" t="n"/>
      <c r="E68" s="102" t="inlineStr">
        <is>
          <t>先導1本</t>
        </is>
      </c>
      <c r="F68" s="103" t="n"/>
    </row>
    <row r="69" ht="21.75" customHeight="1" s="462" thickBot="1">
      <c r="B69" s="104" t="inlineStr">
        <is>
          <t>②7657</t>
        </is>
      </c>
      <c r="C69" s="105" t="inlineStr">
        <is>
          <t>砂川</t>
        </is>
      </c>
      <c r="D69" s="97" t="n"/>
      <c r="E69" s="98" t="n"/>
      <c r="F69" s="99" t="n"/>
    </row>
    <row r="70" ht="24.75" customHeight="1" s="462" thickBot="1" thickTop="1">
      <c r="B70" s="481" t="inlineStr">
        <is>
          <t>2ｔ・3ｔ車(ユニック、ＰＧ)</t>
        </is>
      </c>
      <c r="C70" s="482" t="n"/>
      <c r="D70" s="482" t="n"/>
      <c r="E70" s="482" t="n"/>
      <c r="F70" s="483" t="n"/>
    </row>
    <row r="71" ht="21.75" customHeight="1" s="462" thickTop="1">
      <c r="B71" s="100" t="inlineStr">
        <is>
          <t>①303</t>
        </is>
      </c>
      <c r="C71" s="106" t="inlineStr">
        <is>
          <t>金井</t>
        </is>
      </c>
      <c r="D71" s="107" t="n"/>
      <c r="E71" s="108" t="n"/>
      <c r="F71" s="103" t="n"/>
    </row>
    <row r="72" ht="21" customHeight="1" s="462">
      <c r="B72" s="109" t="inlineStr">
        <is>
          <t>②101</t>
        </is>
      </c>
      <c r="C72" s="95" t="inlineStr">
        <is>
          <t>藤岡</t>
        </is>
      </c>
      <c r="D72" s="93" t="n"/>
      <c r="E72" s="348" t="n"/>
      <c r="F72" s="94" t="n"/>
    </row>
    <row r="73" ht="21" customHeight="1" s="462">
      <c r="B73" s="109" t="inlineStr">
        <is>
          <t>③202</t>
        </is>
      </c>
      <c r="C73" s="95" t="inlineStr">
        <is>
          <t>山原</t>
        </is>
      </c>
      <c r="D73" s="93" t="n"/>
      <c r="E73" s="348" t="n"/>
      <c r="F73" s="94" t="n"/>
    </row>
    <row r="74" ht="21" customHeight="1" s="462">
      <c r="B74" s="109" t="inlineStr">
        <is>
          <t>④505</t>
        </is>
      </c>
      <c r="C74" s="95" t="inlineStr">
        <is>
          <t>辻井</t>
        </is>
      </c>
      <c r="D74" s="93" t="n"/>
      <c r="E74" s="348" t="n"/>
      <c r="F74" s="94" t="n"/>
    </row>
    <row r="75" ht="21" customHeight="1" s="462">
      <c r="B75" s="109" t="inlineStr">
        <is>
          <t>⑤333</t>
        </is>
      </c>
      <c r="C75" s="95" t="inlineStr">
        <is>
          <t>多苗</t>
        </is>
      </c>
      <c r="D75" s="93" t="n"/>
      <c r="E75" s="348" t="n"/>
      <c r="F75" s="94" t="n"/>
    </row>
    <row r="76" ht="21" customHeight="1" s="462">
      <c r="B76" s="109" t="inlineStr">
        <is>
          <t>⑥666</t>
        </is>
      </c>
      <c r="C76" s="95" t="inlineStr">
        <is>
          <t>郡司</t>
        </is>
      </c>
      <c r="D76" s="93" t="n"/>
      <c r="E76" s="348" t="n"/>
      <c r="F76" s="94" t="n"/>
    </row>
    <row r="77" ht="23.25" customHeight="1" s="462">
      <c r="B77" s="109" t="inlineStr">
        <is>
          <t>⑦777</t>
        </is>
      </c>
      <c r="C77" s="110" t="inlineStr">
        <is>
          <t>修理</t>
        </is>
      </c>
      <c r="D77" s="93" t="n"/>
      <c r="E77" s="348" t="n"/>
      <c r="F77" s="94" t="n"/>
    </row>
    <row r="78" ht="21" customHeight="1" s="462">
      <c r="B78" s="109" t="inlineStr">
        <is>
          <t>⑧888</t>
        </is>
      </c>
      <c r="C78" s="95" t="inlineStr">
        <is>
          <t>平良</t>
        </is>
      </c>
      <c r="D78" s="93" t="n"/>
      <c r="E78" s="348" t="n"/>
      <c r="F78" s="94" t="n"/>
    </row>
    <row r="79" ht="24" customHeight="1" s="462" thickBot="1">
      <c r="B79" s="104" t="inlineStr">
        <is>
          <t>⑨110</t>
        </is>
      </c>
      <c r="C79" s="87" t="inlineStr">
        <is>
          <t>空き</t>
        </is>
      </c>
      <c r="D79" s="111" t="n"/>
      <c r="E79" s="112" t="n"/>
      <c r="F79" s="113" t="n"/>
    </row>
    <row r="80" ht="18.75" customHeight="1" s="462" thickBot="1">
      <c r="B80" s="114" t="inlineStr">
        <is>
          <t>稼働台数/人数</t>
        </is>
      </c>
      <c r="C80" s="115" t="inlineStr">
        <is>
          <t>13台/19台</t>
        </is>
      </c>
      <c r="D80" s="116" t="inlineStr">
        <is>
          <t>13人/14人</t>
        </is>
      </c>
    </row>
  </sheetData>
  <mergeCells count="46">
    <mergeCell ref="F44:F45"/>
    <mergeCell ref="P4:Q4"/>
    <mergeCell ref="P26:Q26"/>
    <mergeCell ref="G52:H52"/>
    <mergeCell ref="P29:Q29"/>
    <mergeCell ref="G44:I45"/>
    <mergeCell ref="E42:F42"/>
    <mergeCell ref="P25:Q25"/>
    <mergeCell ref="J37:J38"/>
    <mergeCell ref="D46:D47"/>
    <mergeCell ref="G48:H48"/>
    <mergeCell ref="E39:F39"/>
    <mergeCell ref="B58:F58"/>
    <mergeCell ref="C44:C45"/>
    <mergeCell ref="B70:F70"/>
    <mergeCell ref="J40:J41"/>
    <mergeCell ref="E35:F35"/>
    <mergeCell ref="B2:C2"/>
    <mergeCell ref="E38:F38"/>
    <mergeCell ref="H37:I38"/>
    <mergeCell ref="D48:D49"/>
    <mergeCell ref="P8:Q8"/>
    <mergeCell ref="B67:F67"/>
    <mergeCell ref="G53:H53"/>
    <mergeCell ref="C46:C47"/>
    <mergeCell ref="P27:Q27"/>
    <mergeCell ref="E40:F40"/>
    <mergeCell ref="J35:J36"/>
    <mergeCell ref="G49:H49"/>
    <mergeCell ref="P7:Q7"/>
    <mergeCell ref="P32:Q32"/>
    <mergeCell ref="P28:Q28"/>
    <mergeCell ref="E36:F36"/>
    <mergeCell ref="H35:I36"/>
    <mergeCell ref="G55:H55"/>
    <mergeCell ref="G51:H51"/>
    <mergeCell ref="P3:Q3"/>
    <mergeCell ref="G47:H47"/>
    <mergeCell ref="G54:H54"/>
    <mergeCell ref="E41:F41"/>
    <mergeCell ref="P24:Q24"/>
    <mergeCell ref="H40:I41"/>
    <mergeCell ref="E37:F37"/>
    <mergeCell ref="G50:H50"/>
    <mergeCell ref="P5:Q5"/>
    <mergeCell ref="D44:D45"/>
  </mergeCells>
  <conditionalFormatting sqref="J37:J38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K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K3:K32">
    <cfRule type="cellIs" priority="3" operator="greaterThan" dxfId="0">
      <formula>30</formula>
    </cfRule>
  </conditionalFormatting>
  <conditionalFormatting sqref="D5:D40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/>
</worksheet>
</file>

<file path=xl/worksheets/sheet4.xml><?xml version="1.0" encoding="utf-8"?>
<worksheet xmlns="http://schemas.openxmlformats.org/spreadsheetml/2006/main">
  <sheetPr>
    <tabColor theme="0"/>
    <outlinePr summaryBelow="1" summaryRight="1"/>
    <pageSetUpPr/>
  </sheetPr>
  <dimension ref="A1:R100"/>
  <sheetViews>
    <sheetView topLeftCell="A31" zoomScaleNormal="100" workbookViewId="0">
      <selection activeCell="K36" sqref="K36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2" min="11" max="11"/>
    <col width="8.75" customWidth="1" style="2" min="12" max="15"/>
    <col width="15.75" bestFit="1" customWidth="1" style="2" min="16" max="16"/>
    <col width="8.75" customWidth="1" style="2" min="17" max="16384"/>
  </cols>
  <sheetData>
    <row r="1" ht="15" customHeight="1" s="462" thickBot="1">
      <c r="B1" s="384" t="inlineStr">
        <is>
          <t>11月1日(金)</t>
        </is>
      </c>
      <c r="C1" s="463" t="n"/>
      <c r="D1" s="2" t="inlineStr">
        <is>
          <t>NO.１</t>
        </is>
      </c>
    </row>
    <row r="2" ht="19.5" customHeight="1" s="462" thickBot="1">
      <c r="B2" s="3" t="inlineStr">
        <is>
          <t>6月　大型予定表</t>
        </is>
      </c>
      <c r="C2" s="3" t="inlineStr">
        <is>
          <t>種類</t>
        </is>
      </c>
      <c r="D2" s="3" t="inlineStr">
        <is>
          <t xml:space="preserve">積込地　</t>
        </is>
      </c>
      <c r="E2" s="4" t="inlineStr">
        <is>
          <t>積降地</t>
        </is>
      </c>
      <c r="F2" s="5" t="inlineStr">
        <is>
          <t>ユーザー名(搬入/搬出)</t>
        </is>
      </c>
      <c r="G2" s="117" t="inlineStr">
        <is>
          <t>時間</t>
        </is>
      </c>
      <c r="H2" s="117" t="inlineStr">
        <is>
          <t>号車</t>
        </is>
      </c>
      <c r="I2" s="117" t="n"/>
      <c r="J2" s="117" t="inlineStr">
        <is>
          <t>距離</t>
        </is>
      </c>
      <c r="K2" s="117" t="inlineStr">
        <is>
          <t>特記事項</t>
        </is>
      </c>
      <c r="L2" s="29" t="inlineStr">
        <is>
          <t>距離</t>
        </is>
      </c>
      <c r="M2" s="30" t="inlineStr">
        <is>
          <t>終了地</t>
        </is>
      </c>
      <c r="N2" s="30" t="inlineStr">
        <is>
          <t>予定時間</t>
        </is>
      </c>
      <c r="O2" s="31" t="inlineStr">
        <is>
          <t>必要時間</t>
        </is>
      </c>
      <c r="P2" s="32" t="inlineStr">
        <is>
          <t>件数</t>
        </is>
      </c>
      <c r="Q2" s="32" t="inlineStr">
        <is>
          <t>メモ</t>
        </is>
      </c>
      <c r="R2" s="464" t="n"/>
    </row>
    <row r="3" ht="27" customHeight="1" s="462">
      <c r="A3" s="423">
        <f>IF(B3="","",COUNTA($B$3:B3))</f>
        <v/>
      </c>
      <c r="B3" s="76" t="n"/>
      <c r="C3" s="51" t="n"/>
      <c r="D3" s="51" t="n"/>
      <c r="E3" s="52" t="n"/>
      <c r="F3" s="52" t="n"/>
      <c r="G3" s="53" t="n"/>
      <c r="H3" s="51" t="n"/>
      <c r="I3" s="118" t="n"/>
      <c r="J3" s="51" t="n"/>
      <c r="K3" s="51" t="n"/>
      <c r="L3" s="55" t="n"/>
      <c r="M3" s="388" t="n"/>
      <c r="N3" s="388" t="n"/>
      <c r="O3" s="388" t="n"/>
      <c r="P3" s="388" t="n"/>
      <c r="Q3" s="388" t="n"/>
      <c r="R3" s="465" t="n"/>
    </row>
    <row r="4" ht="27" customHeight="1" s="462">
      <c r="A4" s="423">
        <f>IF(B4="","",COUNTA($B$3:B4))</f>
        <v/>
      </c>
      <c r="B4" s="57" t="n"/>
      <c r="C4" s="441" t="n"/>
      <c r="D4" s="63" t="n"/>
      <c r="E4" s="441" t="n"/>
      <c r="F4" s="57" t="n"/>
      <c r="G4" s="59" t="n"/>
      <c r="H4" s="438" t="n">
        <v>303</v>
      </c>
      <c r="I4" s="119" t="inlineStr">
        <is>
          <t>金</t>
        </is>
      </c>
      <c r="J4" s="57" t="n"/>
      <c r="K4" s="72" t="n"/>
      <c r="L4" s="61" t="n"/>
      <c r="M4" s="449" t="n"/>
      <c r="N4" s="449" t="n"/>
      <c r="O4" s="449" t="n"/>
      <c r="P4" s="449" t="n"/>
      <c r="Q4" s="449" t="n"/>
      <c r="R4" s="449" t="n"/>
    </row>
    <row r="5" ht="27" customHeight="1" s="462">
      <c r="A5" s="423">
        <f>IF(B5="","",COUNTA($B$3:B5))</f>
        <v/>
      </c>
      <c r="B5" s="57" t="n"/>
      <c r="C5" s="63" t="n"/>
      <c r="D5" s="441" t="n"/>
      <c r="E5" s="441" t="n"/>
      <c r="F5" s="57" t="n"/>
      <c r="G5" s="65" t="n"/>
      <c r="H5" s="438" t="n">
        <v>101</v>
      </c>
      <c r="I5" s="120" t="inlineStr">
        <is>
          <t>藤</t>
        </is>
      </c>
      <c r="J5" s="420" t="n"/>
      <c r="K5" s="72" t="n"/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IF(B6="","",COUNTA($B$3:B6))</f>
        <v/>
      </c>
      <c r="B6" s="57" t="n"/>
      <c r="C6" s="63" t="n"/>
      <c r="D6" s="441" t="n"/>
      <c r="E6" s="441" t="n"/>
      <c r="F6" s="57" t="n"/>
      <c r="G6" s="65" t="n"/>
      <c r="H6" s="438" t="n">
        <v>202</v>
      </c>
      <c r="I6" s="119" t="inlineStr">
        <is>
          <t>山原</t>
        </is>
      </c>
      <c r="J6" s="57" t="n"/>
      <c r="K6" s="72" t="n"/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IF(B7="","",COUNTA($B$3:B7))</f>
        <v/>
      </c>
      <c r="B7" s="57" t="n"/>
      <c r="C7" s="64" t="n"/>
      <c r="D7" s="63" t="n"/>
      <c r="E7" s="441" t="n"/>
      <c r="F7" s="57" t="n"/>
      <c r="G7" s="59" t="n"/>
      <c r="H7" s="438" t="n">
        <v>505</v>
      </c>
      <c r="I7" s="119" t="inlineStr">
        <is>
          <t>辻</t>
        </is>
      </c>
      <c r="J7" s="57" t="n"/>
      <c r="K7" s="72" t="n"/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IF(B8="","",COUNTA($B$3:B8))</f>
        <v/>
      </c>
      <c r="B8" s="57" t="n"/>
      <c r="C8" s="441" t="n"/>
      <c r="D8" s="63" t="n"/>
      <c r="E8" s="441" t="n"/>
      <c r="F8" s="57" t="n"/>
      <c r="G8" s="59" t="n"/>
      <c r="H8" s="438" t="n">
        <v>333</v>
      </c>
      <c r="I8" s="119" t="inlineStr">
        <is>
          <t>多</t>
        </is>
      </c>
      <c r="J8" s="57" t="n"/>
      <c r="K8" s="72" t="n"/>
      <c r="L8" s="61" t="n"/>
      <c r="M8" s="449" t="n"/>
      <c r="N8" s="449" t="n"/>
      <c r="O8" s="449" t="n"/>
      <c r="P8" s="449" t="n"/>
      <c r="Q8" s="449" t="n"/>
    </row>
    <row r="9" ht="27" customHeight="1" s="462">
      <c r="A9" s="423">
        <f>IF(B9="","",COUNTA($B$3:B9))</f>
        <v/>
      </c>
      <c r="B9" s="57" t="n"/>
      <c r="C9" s="63" t="n"/>
      <c r="D9" s="441" t="n"/>
      <c r="E9" s="441" t="n"/>
      <c r="F9" s="57" t="n"/>
      <c r="G9" s="65" t="n"/>
      <c r="H9" s="438" t="n">
        <v>666</v>
      </c>
      <c r="I9" s="119" t="inlineStr">
        <is>
          <t>森</t>
        </is>
      </c>
      <c r="J9" s="57" t="n"/>
      <c r="K9" s="72" t="n"/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IF(B10="","",COUNTA($B$3:B10))</f>
        <v/>
      </c>
      <c r="B10" s="57" t="n"/>
      <c r="C10" s="63" t="n"/>
      <c r="D10" s="441" t="n"/>
      <c r="E10" s="441" t="n"/>
      <c r="F10" s="57" t="n"/>
      <c r="G10" s="65" t="n"/>
      <c r="H10" s="438" t="n">
        <v>777</v>
      </c>
      <c r="I10" s="119" t="inlineStr">
        <is>
          <t>郡</t>
        </is>
      </c>
      <c r="J10" s="57" t="n"/>
      <c r="K10" s="72" t="n"/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IF(B11="","",COUNTA($B$3:B11))</f>
        <v/>
      </c>
      <c r="B11" s="57" t="n"/>
      <c r="C11" s="63" t="n"/>
      <c r="D11" s="441" t="n"/>
      <c r="E11" s="441" t="n"/>
      <c r="F11" s="57" t="n"/>
      <c r="G11" s="65" t="n"/>
      <c r="H11" s="438" t="n">
        <v>888</v>
      </c>
      <c r="I11" s="119" t="inlineStr">
        <is>
          <t>平</t>
        </is>
      </c>
      <c r="J11" s="57" t="n"/>
      <c r="K11" s="72" t="n"/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IF(B12="","",COUNTA($B$3:B12))</f>
        <v/>
      </c>
      <c r="B12" s="57" t="n"/>
      <c r="C12" s="63" t="n"/>
      <c r="D12" s="441" t="n"/>
      <c r="E12" s="441" t="n"/>
      <c r="F12" s="57" t="n"/>
      <c r="G12" s="65" t="n"/>
      <c r="H12" s="438" t="n">
        <v>7651</v>
      </c>
      <c r="I12" s="119" t="inlineStr">
        <is>
          <t>坂</t>
        </is>
      </c>
      <c r="J12" s="57" t="n"/>
      <c r="K12" s="72" t="n"/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IF(B13="","",COUNTA($B$3:B13))</f>
        <v/>
      </c>
      <c r="B13" s="57" t="n"/>
      <c r="C13" s="63" t="n"/>
      <c r="D13" s="441" t="n"/>
      <c r="E13" s="441" t="n"/>
      <c r="F13" s="57" t="n"/>
      <c r="G13" s="65" t="n"/>
      <c r="H13" s="438" t="n">
        <v>7657</v>
      </c>
      <c r="I13" s="119" t="inlineStr">
        <is>
          <t>砂</t>
        </is>
      </c>
      <c r="J13" s="57" t="n"/>
      <c r="K13" s="72" t="n"/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IF(B14="","",COUNTA($B$3:B14))</f>
        <v/>
      </c>
      <c r="B14" s="57" t="n"/>
      <c r="C14" s="63" t="n"/>
      <c r="D14" s="441" t="n"/>
      <c r="E14" s="441" t="n"/>
      <c r="F14" s="57" t="n"/>
      <c r="G14" s="65" t="n"/>
      <c r="H14" s="438" t="n">
        <v>7732</v>
      </c>
      <c r="I14" s="119" t="inlineStr">
        <is>
          <t>山岸</t>
        </is>
      </c>
      <c r="J14" s="57" t="n"/>
      <c r="K14" s="72" t="n"/>
      <c r="L14" s="61" t="n"/>
      <c r="M14" s="449" t="n"/>
      <c r="N14" s="449" t="n"/>
      <c r="O14" s="449" t="n"/>
      <c r="P14" s="449" t="n"/>
      <c r="Q14" s="449" t="n"/>
      <c r="R14" s="449" t="n"/>
    </row>
    <row r="15" ht="16.5" customHeight="1" s="462">
      <c r="A15" s="423">
        <f>IF(B15="","",COUNTA($B$3:B15))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427" t="n"/>
      <c r="J15" s="57" t="n"/>
      <c r="K15" s="72" t="n"/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IF(B16="","",COUNTA($B$3:B16))</f>
        <v/>
      </c>
      <c r="B16" s="57" t="n"/>
      <c r="C16" s="63" t="n"/>
      <c r="D16" s="441" t="n"/>
      <c r="E16" s="441" t="n"/>
      <c r="F16" s="57" t="n"/>
      <c r="G16" s="65" t="n"/>
      <c r="H16" s="438" t="inlineStr">
        <is>
          <t>303＊2</t>
        </is>
      </c>
      <c r="I16" s="427" t="n"/>
      <c r="J16" s="57" t="n"/>
      <c r="K16" s="72" t="n"/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IF(B17="","",COUNTA($B$3:B17))</f>
        <v/>
      </c>
      <c r="B17" s="57" t="n"/>
      <c r="C17" s="63" t="n"/>
      <c r="D17" s="441" t="n"/>
      <c r="E17" s="441" t="n"/>
      <c r="F17" s="57" t="n"/>
      <c r="G17" s="65" t="n"/>
      <c r="H17" s="438" t="inlineStr">
        <is>
          <t>101＊2</t>
        </is>
      </c>
      <c r="I17" s="427" t="n"/>
      <c r="J17" s="57" t="n"/>
      <c r="K17" s="72" t="n"/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IF(B18="","",COUNTA($B$3:B18))</f>
        <v/>
      </c>
      <c r="B18" s="57" t="n"/>
      <c r="C18" s="63" t="n"/>
      <c r="D18" s="441" t="n"/>
      <c r="E18" s="441" t="n"/>
      <c r="F18" s="57" t="n"/>
      <c r="G18" s="65" t="n"/>
      <c r="H18" s="438" t="inlineStr">
        <is>
          <t>202＊2</t>
        </is>
      </c>
      <c r="I18" s="427" t="n"/>
      <c r="J18" s="57" t="n"/>
      <c r="K18" s="72" t="n"/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IF(B19="","",COUNTA($B$3:B19))</f>
        <v/>
      </c>
      <c r="B19" s="57" t="n"/>
      <c r="C19" s="63" t="n"/>
      <c r="D19" s="441" t="n"/>
      <c r="E19" s="441" t="n"/>
      <c r="F19" s="57" t="n"/>
      <c r="G19" s="65" t="n"/>
      <c r="H19" s="438" t="inlineStr">
        <is>
          <t>505＊2</t>
        </is>
      </c>
      <c r="I19" s="427" t="n"/>
      <c r="J19" s="57" t="n"/>
      <c r="K19" s="72" t="n"/>
      <c r="L19" s="61" t="n"/>
      <c r="M19" s="449" t="n"/>
      <c r="N19" s="449" t="n"/>
      <c r="O19" s="449" t="n"/>
      <c r="P19" s="449" t="n"/>
      <c r="Q19" s="449" t="n"/>
      <c r="R19" s="449" t="n"/>
    </row>
    <row r="20" ht="27" customHeight="1" s="462">
      <c r="A20" s="423">
        <f>IF(B20="","",COUNTA($B$3:B20))</f>
        <v/>
      </c>
      <c r="B20" s="57" t="n"/>
      <c r="C20" s="63" t="n"/>
      <c r="D20" s="441" t="n"/>
      <c r="E20" s="441" t="n"/>
      <c r="F20" s="57" t="n"/>
      <c r="G20" s="65" t="n"/>
      <c r="H20" s="438" t="inlineStr">
        <is>
          <t>333＊2</t>
        </is>
      </c>
      <c r="I20" s="427" t="n"/>
      <c r="J20" s="57" t="n"/>
      <c r="K20" s="72" t="n"/>
      <c r="L20" s="61" t="n"/>
      <c r="M20" s="449" t="n"/>
      <c r="N20" s="449" t="n"/>
      <c r="O20" s="449" t="n"/>
      <c r="P20" s="449" t="n"/>
      <c r="Q20" s="449" t="n"/>
      <c r="R20" s="449" t="n"/>
    </row>
    <row r="21" ht="28.5" customHeight="1" s="462">
      <c r="A21" s="423">
        <f>IF(B21="","",COUNTA($B$3:B21))</f>
        <v/>
      </c>
      <c r="B21" s="57" t="n"/>
      <c r="C21" s="64" t="n"/>
      <c r="D21" s="441" t="n"/>
      <c r="E21" s="63" t="n"/>
      <c r="F21" s="441" t="n"/>
      <c r="G21" s="59" t="n"/>
      <c r="H21" s="438" t="inlineStr">
        <is>
          <t>666＊2</t>
        </is>
      </c>
      <c r="I21" s="427" t="n"/>
      <c r="J21" s="57" t="n"/>
      <c r="K21" s="72" t="n"/>
      <c r="L21" s="61" t="n"/>
      <c r="M21" s="449" t="n"/>
      <c r="N21" s="449" t="n"/>
      <c r="O21" s="449" t="n"/>
      <c r="P21" s="449" t="n"/>
      <c r="Q21" s="449" t="n"/>
      <c r="R21" s="449" t="n"/>
    </row>
    <row r="22" ht="28.5" customHeight="1" s="462">
      <c r="A22" s="423">
        <f>IF(B22="","",COUNTA($B$3:B22))</f>
        <v/>
      </c>
      <c r="B22" s="57" t="n"/>
      <c r="C22" s="64" t="n"/>
      <c r="D22" s="441" t="n"/>
      <c r="E22" s="441" t="n"/>
      <c r="F22" s="441" t="n"/>
      <c r="G22" s="59" t="n"/>
      <c r="H22" s="438" t="inlineStr">
        <is>
          <t>777＊2</t>
        </is>
      </c>
      <c r="I22" s="427" t="n"/>
      <c r="J22" s="57" t="n"/>
      <c r="K22" s="72" t="n"/>
      <c r="L22" s="61" t="n"/>
      <c r="M22" s="449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IF(B23="","",COUNTA($B$3:B23))</f>
        <v/>
      </c>
      <c r="B23" s="57" t="n"/>
      <c r="C23" s="63" t="n"/>
      <c r="D23" s="441" t="n"/>
      <c r="E23" s="441" t="n"/>
      <c r="F23" s="57" t="n"/>
      <c r="G23" s="65" t="n"/>
      <c r="H23" s="438" t="inlineStr">
        <is>
          <t>888＊2</t>
        </is>
      </c>
      <c r="I23" s="427" t="n"/>
      <c r="J23" s="57" t="n"/>
      <c r="K23" s="72" t="n"/>
      <c r="L23" s="61" t="n"/>
      <c r="M23" s="449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IF(B24="","",COUNTA($B$3:B24))</f>
        <v/>
      </c>
      <c r="B24" s="57" t="n"/>
      <c r="C24" s="63" t="n"/>
      <c r="D24" s="441" t="n"/>
      <c r="E24" s="441" t="n"/>
      <c r="F24" s="57" t="n"/>
      <c r="G24" s="65" t="n"/>
      <c r="H24" s="438" t="inlineStr">
        <is>
          <t>7651＊2</t>
        </is>
      </c>
      <c r="I24" s="427" t="n"/>
      <c r="J24" s="57" t="n"/>
      <c r="K24" s="72" t="n"/>
      <c r="L24" s="61" t="n"/>
      <c r="M24" s="449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IF(B25="","",COUNTA($B$3:B25))</f>
        <v/>
      </c>
      <c r="B25" s="57" t="n"/>
      <c r="C25" s="63" t="n"/>
      <c r="D25" s="441" t="n"/>
      <c r="E25" s="441" t="n"/>
      <c r="F25" s="57" t="n"/>
      <c r="G25" s="65" t="n"/>
      <c r="H25" s="438" t="inlineStr">
        <is>
          <t>7657＊2</t>
        </is>
      </c>
      <c r="I25" s="427" t="n"/>
      <c r="J25" s="57" t="n"/>
      <c r="K25" s="72" t="n"/>
      <c r="L25" s="61" t="n"/>
      <c r="M25" s="449" t="n"/>
      <c r="N25" s="449" t="n"/>
      <c r="O25" s="449" t="n"/>
      <c r="P25" s="449" t="n"/>
      <c r="Q25" s="449" t="n"/>
      <c r="R25" s="449" t="n"/>
    </row>
    <row r="26" ht="27" customHeight="1" s="462">
      <c r="A26" s="423">
        <f>IF(B26="","",COUNTA($B$3:B26))</f>
        <v/>
      </c>
      <c r="B26" s="57" t="n"/>
      <c r="C26" s="63" t="n"/>
      <c r="D26" s="441" t="n"/>
      <c r="E26" s="441" t="n"/>
      <c r="F26" s="57" t="n"/>
      <c r="G26" s="65" t="n"/>
      <c r="H26" s="438" t="inlineStr">
        <is>
          <t>7732＊2</t>
        </is>
      </c>
      <c r="I26" s="427" t="n"/>
      <c r="J26" s="57" t="n"/>
      <c r="K26" s="72" t="n"/>
      <c r="L26" s="61" t="n"/>
      <c r="M26" s="449" t="n"/>
      <c r="N26" s="449" t="n"/>
      <c r="O26" s="449" t="n"/>
      <c r="P26" s="449" t="n"/>
      <c r="Q26" s="449" t="n"/>
      <c r="R26" s="449" t="n"/>
    </row>
    <row r="27" ht="16.5" customHeight="1" s="462">
      <c r="A27" s="423">
        <f>IF(B27="","",COUNTA($B$3:B27))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72" t="n"/>
      <c r="L27" s="61" t="n"/>
      <c r="M27" s="449" t="n"/>
      <c r="N27" s="449" t="n"/>
      <c r="O27" s="449" t="n"/>
      <c r="P27" s="449" t="n"/>
      <c r="Q27" s="449" t="n"/>
      <c r="R27" s="449" t="n"/>
    </row>
    <row r="28" ht="27" customHeight="1" s="462">
      <c r="A28" s="423">
        <f>IF(B28="","",COUNTA($B$3:B28))</f>
        <v/>
      </c>
      <c r="B28" s="441" t="n"/>
      <c r="C28" s="63" t="n"/>
      <c r="D28" s="440" t="n"/>
      <c r="E28" s="441" t="n"/>
      <c r="F28" s="57" t="n"/>
      <c r="G28" s="59" t="n"/>
      <c r="H28" s="438" t="inlineStr">
        <is>
          <t>303＊3</t>
        </is>
      </c>
      <c r="I28" s="427" t="n"/>
      <c r="J28" s="57" t="n"/>
      <c r="K28" s="73" t="n"/>
      <c r="L28" s="61" t="n"/>
      <c r="M28" s="449" t="n"/>
      <c r="N28" s="449" t="n"/>
      <c r="O28" s="449" t="n"/>
      <c r="P28" s="449" t="n"/>
      <c r="Q28" s="449" t="n"/>
    </row>
    <row r="29" ht="27" customHeight="1" s="462">
      <c r="A29" s="423">
        <f>IF(B29="","",COUNTA($B$3:B29))</f>
        <v/>
      </c>
      <c r="B29" s="57" t="n"/>
      <c r="C29" s="62" t="n"/>
      <c r="D29" s="63" t="n"/>
      <c r="E29" s="441" t="n"/>
      <c r="F29" s="57" t="n"/>
      <c r="G29" s="66" t="n"/>
      <c r="H29" s="438" t="inlineStr">
        <is>
          <t>101＊3</t>
        </is>
      </c>
      <c r="I29" s="427" t="n"/>
      <c r="J29" s="57" t="n"/>
      <c r="K29" s="73" t="n"/>
      <c r="L29" s="61" t="n"/>
      <c r="M29" s="449" t="n"/>
      <c r="N29" s="449" t="n"/>
      <c r="O29" s="449" t="n"/>
      <c r="P29" s="449" t="n"/>
      <c r="Q29" s="449" t="n"/>
    </row>
    <row r="30" ht="27" customHeight="1" s="462">
      <c r="A30" s="423">
        <f>IF(B30="","",COUNTA($B$3:B30))</f>
        <v/>
      </c>
      <c r="B30" s="57" t="n"/>
      <c r="C30" s="57" t="n"/>
      <c r="D30" s="441" t="n"/>
      <c r="E30" s="441" t="n"/>
      <c r="F30" s="57" t="n"/>
      <c r="G30" s="66" t="n"/>
      <c r="H30" s="438" t="inlineStr">
        <is>
          <t>202＊3</t>
        </is>
      </c>
      <c r="I30" s="427" t="n"/>
      <c r="J30" s="57" t="n"/>
      <c r="K30" s="72" t="n"/>
      <c r="L30" s="61" t="n"/>
      <c r="M30" s="449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IF(B31="","",COUNTA($B$3:B31))</f>
        <v/>
      </c>
      <c r="B31" s="57" t="n"/>
      <c r="C31" s="57" t="n"/>
      <c r="D31" s="441" t="n"/>
      <c r="E31" s="441" t="n"/>
      <c r="F31" s="57" t="n"/>
      <c r="G31" s="66" t="n"/>
      <c r="H31" s="438" t="inlineStr">
        <is>
          <t>505＊3</t>
        </is>
      </c>
      <c r="I31" s="427" t="n"/>
      <c r="J31" s="57" t="n"/>
      <c r="K31" s="72" t="n"/>
      <c r="L31" s="61" t="n"/>
      <c r="M31" s="449" t="n"/>
      <c r="N31" s="449" t="n"/>
      <c r="O31" s="449" t="n"/>
      <c r="P31" s="449" t="n"/>
      <c r="Q31" s="449" t="n"/>
      <c r="R31" s="449" t="n"/>
    </row>
    <row r="32" ht="27" customHeight="1" s="462">
      <c r="A32" s="423">
        <f>IF(B32="","",COUNTA($B$3:B32))</f>
        <v/>
      </c>
      <c r="B32" s="57" t="n"/>
      <c r="C32" s="63" t="n"/>
      <c r="D32" s="441" t="n"/>
      <c r="E32" s="441" t="n"/>
      <c r="F32" s="57" t="n"/>
      <c r="G32" s="65" t="n"/>
      <c r="H32" s="438" t="inlineStr">
        <is>
          <t>333＊3</t>
        </is>
      </c>
      <c r="I32" s="427" t="n"/>
      <c r="J32" s="57" t="n"/>
      <c r="K32" s="72" t="n"/>
      <c r="L32" s="61" t="n"/>
      <c r="M32" s="449" t="n"/>
      <c r="N32" s="449" t="n"/>
      <c r="O32" s="449" t="n"/>
      <c r="P32" s="449" t="n"/>
      <c r="Q32" s="449" t="n"/>
      <c r="R32" s="449" t="n"/>
    </row>
    <row r="33" ht="27" customHeight="1" s="462">
      <c r="A33" s="423">
        <f>IF(B33="","",COUNTA($B$3:B33))</f>
        <v/>
      </c>
      <c r="B33" s="57" t="n"/>
      <c r="C33" s="420" t="n"/>
      <c r="D33" s="63" t="n"/>
      <c r="E33" s="441" t="n"/>
      <c r="F33" s="57" t="n"/>
      <c r="G33" s="65" t="n"/>
      <c r="H33" s="438" t="inlineStr">
        <is>
          <t>666＊3</t>
        </is>
      </c>
      <c r="I33" s="427" t="n"/>
      <c r="J33" s="57" t="n"/>
      <c r="K33" s="72" t="n"/>
      <c r="L33" s="61" t="n"/>
      <c r="M33" s="449" t="n"/>
      <c r="N33" s="449" t="n"/>
      <c r="O33" s="449" t="n"/>
      <c r="P33" s="449" t="n"/>
      <c r="Q33" s="449" t="n"/>
    </row>
    <row r="34" ht="27.75" customHeight="1" s="462">
      <c r="A34" s="423">
        <f>IF(B34="","",COUNTA($B$3:B34))</f>
        <v/>
      </c>
      <c r="B34" s="441" t="n"/>
      <c r="C34" s="440" t="n"/>
      <c r="D34" s="441" t="n"/>
      <c r="E34" s="440" t="n"/>
      <c r="F34" s="57" t="n"/>
      <c r="G34" s="65" t="n"/>
      <c r="H34" s="438" t="inlineStr">
        <is>
          <t>888＊3</t>
        </is>
      </c>
      <c r="I34" s="438" t="n"/>
      <c r="J34" s="420" t="n"/>
      <c r="K34" s="72" t="n"/>
      <c r="L34" s="61" t="n"/>
      <c r="M34" s="449" t="n"/>
      <c r="N34" s="449" t="n"/>
      <c r="O34" s="449" t="n"/>
      <c r="P34" s="449" t="n"/>
      <c r="Q34" s="449" t="n"/>
    </row>
    <row r="35" ht="27" customHeight="1" s="462">
      <c r="A35" s="423">
        <f>IF(B35="","",COUNTA($B$3:B35))</f>
        <v/>
      </c>
      <c r="B35" s="57" t="n"/>
      <c r="C35" s="57" t="n"/>
      <c r="D35" s="441" t="n"/>
      <c r="E35" s="441" t="n"/>
      <c r="F35" s="57" t="n"/>
      <c r="G35" s="66" t="n"/>
      <c r="H35" s="438" t="inlineStr">
        <is>
          <t>777＊3</t>
        </is>
      </c>
      <c r="I35" s="427" t="n"/>
      <c r="J35" s="57" t="n"/>
      <c r="K35" s="72" t="n"/>
      <c r="L35" s="61" t="n"/>
      <c r="M35" s="449" t="n"/>
      <c r="N35" s="449" t="n"/>
      <c r="O35" s="449" t="n"/>
      <c r="P35" s="449" t="n"/>
      <c r="Q35" s="449" t="n"/>
    </row>
    <row r="36" ht="27" customHeight="1" s="462">
      <c r="A36" s="423">
        <f>IF(B36="","",COUNTA($B$3:B36))</f>
        <v/>
      </c>
      <c r="B36" s="441" t="n"/>
      <c r="C36" s="63" t="n"/>
      <c r="D36" s="440" t="n"/>
      <c r="E36" s="441" t="n"/>
      <c r="F36" s="57" t="n"/>
      <c r="G36" s="59" t="n"/>
      <c r="H36" s="427" t="inlineStr">
        <is>
          <t>7651＊3</t>
        </is>
      </c>
      <c r="I36" s="427" t="n"/>
      <c r="J36" s="57" t="n"/>
      <c r="K36" s="73" t="n"/>
      <c r="L36" s="61" t="n"/>
      <c r="M36" s="449" t="n"/>
      <c r="N36" s="449" t="n"/>
      <c r="O36" s="449" t="n"/>
      <c r="P36" s="449" t="n"/>
      <c r="Q36" s="449" t="n"/>
      <c r="R36" s="449" t="n"/>
    </row>
    <row r="37" ht="27" customHeight="1" s="462">
      <c r="A37" s="423">
        <f>IF(B37="","",COUNTA($B$3:B37))</f>
        <v/>
      </c>
      <c r="B37" s="441" t="n"/>
      <c r="C37" s="63" t="n"/>
      <c r="D37" s="440" t="n"/>
      <c r="E37" s="441" t="n"/>
      <c r="F37" s="57" t="n"/>
      <c r="G37" s="59" t="n"/>
      <c r="H37" s="438" t="inlineStr">
        <is>
          <t>7657＊3</t>
        </is>
      </c>
      <c r="I37" s="427" t="n"/>
      <c r="J37" s="57" t="n"/>
      <c r="K37" s="73" t="n"/>
      <c r="L37" s="61" t="n"/>
      <c r="M37" s="449" t="n"/>
      <c r="N37" s="449" t="n"/>
      <c r="O37" s="449" t="n"/>
      <c r="P37" s="449" t="n"/>
      <c r="Q37" s="449" t="n"/>
      <c r="R37" s="449" t="n"/>
    </row>
    <row r="38" ht="27" customHeight="1" s="462">
      <c r="A38" s="423">
        <f>IF(B38="","",COUNTA($B$3:B38))</f>
        <v/>
      </c>
      <c r="B38" s="441" t="n"/>
      <c r="C38" s="63" t="n"/>
      <c r="D38" s="440" t="n"/>
      <c r="E38" s="441" t="n"/>
      <c r="F38" s="57" t="n"/>
      <c r="G38" s="59" t="n"/>
      <c r="H38" s="427" t="inlineStr">
        <is>
          <t>7732＊3</t>
        </is>
      </c>
      <c r="I38" s="427" t="n"/>
      <c r="J38" s="57" t="n"/>
      <c r="K38" s="73" t="n"/>
      <c r="L38" s="61" t="n"/>
      <c r="M38" s="449" t="n"/>
      <c r="N38" s="449" t="n"/>
      <c r="O38" s="449" t="n"/>
      <c r="P38" s="449" t="n"/>
      <c r="Q38" s="449" t="n"/>
      <c r="R38" s="449" t="n"/>
    </row>
    <row r="39" ht="15.75" customHeight="1" s="462">
      <c r="A39" s="423">
        <f>IF(B39="","",COUNTA($B$3:B39))</f>
        <v/>
      </c>
      <c r="B39" s="441" t="n"/>
      <c r="C39" s="63" t="n"/>
      <c r="D39" s="440" t="n"/>
      <c r="E39" s="441" t="n"/>
      <c r="F39" s="57" t="n"/>
      <c r="G39" s="59" t="n"/>
      <c r="H39" s="57" t="n"/>
      <c r="I39" s="57" t="n"/>
      <c r="J39" s="57" t="n"/>
      <c r="K39" s="73" t="n"/>
      <c r="L39" s="61" t="n"/>
      <c r="M39" s="449" t="n"/>
      <c r="N39" s="449" t="n"/>
      <c r="O39" s="449" t="n"/>
      <c r="P39" s="449" t="n"/>
      <c r="Q39" s="449" t="n"/>
      <c r="R39" s="449" t="n"/>
    </row>
    <row r="40" ht="27" customHeight="1" s="462">
      <c r="A40" s="423">
        <f>IF(B40="","",COUNTA($B$3:B40))</f>
        <v/>
      </c>
      <c r="B40" s="441" t="n"/>
      <c r="C40" s="63" t="n"/>
      <c r="D40" s="440" t="n"/>
      <c r="E40" s="441" t="n"/>
      <c r="F40" s="57" t="n"/>
      <c r="G40" s="59" t="n"/>
      <c r="H40" s="57" t="n"/>
      <c r="I40" s="57" t="n"/>
      <c r="J40" s="57" t="n"/>
      <c r="K40" s="73" t="n"/>
      <c r="L40" s="61" t="n"/>
      <c r="M40" s="449" t="n"/>
      <c r="N40" s="449" t="n"/>
      <c r="O40" s="449" t="n"/>
      <c r="P40" s="449" t="n"/>
      <c r="Q40" s="449" t="n"/>
      <c r="R40" s="449" t="n"/>
    </row>
    <row r="41" ht="27" customHeight="1" s="462">
      <c r="A41" s="423">
        <f>IF(B41="","",COUNTA($B$3:B41))</f>
        <v/>
      </c>
      <c r="B41" s="441" t="n"/>
      <c r="C41" s="63" t="n"/>
      <c r="D41" s="440" t="n"/>
      <c r="E41" s="441" t="n"/>
      <c r="F41" s="57" t="n"/>
      <c r="G41" s="59" t="n"/>
      <c r="H41" s="57" t="n"/>
      <c r="I41" s="57" t="n"/>
      <c r="J41" s="57" t="n"/>
      <c r="K41" s="73" t="n"/>
      <c r="L41" s="61" t="n"/>
      <c r="M41" s="449" t="n"/>
      <c r="N41" s="449" t="n"/>
      <c r="O41" s="449" t="n"/>
      <c r="P41" s="449" t="n"/>
      <c r="Q41" s="449" t="n"/>
      <c r="R41" s="449" t="n"/>
    </row>
    <row r="42" ht="27" customHeight="1" s="462">
      <c r="A42" s="423">
        <f>IF(B42="","",COUNTA($B$3:B42))</f>
        <v/>
      </c>
      <c r="B42" s="441" t="n"/>
      <c r="C42" s="63" t="n"/>
      <c r="D42" s="440" t="n"/>
      <c r="E42" s="441" t="n"/>
      <c r="F42" s="57" t="n"/>
      <c r="G42" s="59" t="n"/>
      <c r="H42" s="57" t="n"/>
      <c r="I42" s="57" t="n"/>
      <c r="J42" s="57" t="n"/>
      <c r="K42" s="73" t="n"/>
      <c r="L42" s="61" t="n"/>
      <c r="M42" s="449" t="n"/>
      <c r="N42" s="449" t="n"/>
      <c r="O42" s="449" t="n"/>
      <c r="P42" s="449" t="n"/>
      <c r="Q42" s="449" t="n"/>
      <c r="R42" s="449" t="n"/>
    </row>
    <row r="43" ht="27" customHeight="1" s="462">
      <c r="A43" s="423">
        <f>IF(B43="","",COUNTA($B$3:B43))</f>
        <v/>
      </c>
      <c r="B43" s="441" t="n"/>
      <c r="C43" s="63" t="n"/>
      <c r="D43" s="440" t="n"/>
      <c r="E43" s="441" t="n"/>
      <c r="F43" s="57" t="n"/>
      <c r="G43" s="59" t="n"/>
      <c r="H43" s="57" t="n"/>
      <c r="I43" s="57" t="n"/>
      <c r="J43" s="57" t="n"/>
      <c r="K43" s="73" t="n"/>
      <c r="L43" s="61" t="n"/>
      <c r="M43" s="449" t="n"/>
      <c r="N43" s="449" t="n"/>
      <c r="O43" s="449" t="n"/>
      <c r="P43" s="449" t="n"/>
      <c r="Q43" s="449" t="n"/>
      <c r="R43" s="449" t="n"/>
    </row>
    <row r="44" ht="27" customHeight="1" s="462">
      <c r="A44" s="423">
        <f>IF(B44="","",COUNTA($B$3:B44))</f>
        <v/>
      </c>
      <c r="B44" s="420" t="n"/>
      <c r="C44" s="420" t="n"/>
      <c r="D44" s="420" t="n"/>
      <c r="E44" s="420" t="n"/>
      <c r="F44" s="420" t="n"/>
      <c r="G44" s="69" t="n"/>
      <c r="H44" s="70" t="n"/>
      <c r="I44" s="70" t="n"/>
      <c r="J44" s="420" t="n"/>
      <c r="K44" s="22" t="n"/>
      <c r="L44" s="61" t="n"/>
      <c r="M44" s="449" t="n"/>
      <c r="N44" s="449" t="n"/>
      <c r="O44" s="449" t="n"/>
      <c r="P44" s="449" t="n"/>
      <c r="Q44" s="449" t="n"/>
    </row>
    <row r="45">
      <c r="A45" s="423">
        <f>IF(B45="","",COUNTA($B$3:B45))</f>
        <v/>
      </c>
      <c r="B45" s="18" t="n"/>
      <c r="C45" s="18" t="n"/>
      <c r="D45" s="18" t="n"/>
      <c r="E45" s="18" t="n"/>
      <c r="F45" s="18" t="n"/>
      <c r="G45" s="19" t="n"/>
      <c r="H45" s="33" t="n"/>
      <c r="I45" s="18" t="n"/>
      <c r="J45" s="18" t="n"/>
      <c r="K45" s="18" t="n"/>
    </row>
    <row r="46" ht="14.25" customHeight="1" s="462" thickBot="1">
      <c r="A46" s="423">
        <f>IF(B46="","",COUNTA($B$3:B46))</f>
        <v/>
      </c>
    </row>
    <row r="47">
      <c r="A47" s="423">
        <f>IF(B47="","",COUNTA($B$3:B47))</f>
        <v/>
      </c>
      <c r="B47" s="22" t="n"/>
      <c r="C47" s="25" t="n"/>
      <c r="D47" s="25" t="inlineStr">
        <is>
          <t>現在待機場所</t>
        </is>
      </c>
      <c r="E47" s="25" t="inlineStr">
        <is>
          <t>待機予定場所</t>
        </is>
      </c>
      <c r="F47" s="466" t="n"/>
      <c r="H47" s="375" t="inlineStr">
        <is>
          <t>目標距離</t>
        </is>
      </c>
      <c r="I47" s="465" t="n"/>
      <c r="J47" s="467" t="n"/>
      <c r="K47" s="377" t="n">
        <v>550</v>
      </c>
    </row>
    <row r="48" ht="14.25" customHeight="1" s="462" thickBot="1">
      <c r="A48" s="423">
        <f>IF(B48="","",COUNTA($B$3:B48))</f>
        <v/>
      </c>
      <c r="B48" s="26" t="inlineStr">
        <is>
          <t>2(255)</t>
        </is>
      </c>
      <c r="C48" s="21" t="inlineStr">
        <is>
          <t>山岸</t>
        </is>
      </c>
      <c r="D48" s="34" t="n"/>
      <c r="E48" s="34" t="n"/>
      <c r="F48" s="466" t="n"/>
      <c r="H48" s="468" t="n"/>
      <c r="I48" s="477" t="n"/>
      <c r="J48" s="469" t="n"/>
      <c r="K48" s="470" t="n"/>
    </row>
    <row r="49">
      <c r="A49" s="423">
        <f>IF(B49="","",COUNTA($B$3:B49))</f>
        <v/>
      </c>
      <c r="B49" s="26" t="inlineStr">
        <is>
          <t>8(254)</t>
        </is>
      </c>
      <c r="C49" s="21" t="inlineStr">
        <is>
          <t>砂川</t>
        </is>
      </c>
      <c r="D49" s="35" t="n"/>
      <c r="E49" s="35" t="n"/>
      <c r="F49" s="466" t="n"/>
      <c r="H49" s="368" t="inlineStr">
        <is>
          <t>残距離</t>
        </is>
      </c>
      <c r="J49" s="471" t="n"/>
      <c r="K49" s="354">
        <f>550-SUM(L2:L44)-SUM(#REF!)</f>
        <v/>
      </c>
    </row>
    <row r="50" ht="14.25" customHeight="1" s="462" thickBot="1">
      <c r="A50" s="423">
        <f>IF(B50="","",COUNTA($B$3:B50))</f>
        <v/>
      </c>
      <c r="B50" s="26" t="inlineStr">
        <is>
          <t>9(256)</t>
        </is>
      </c>
      <c r="C50" s="21" t="inlineStr">
        <is>
          <t>前川</t>
        </is>
      </c>
      <c r="D50" s="35" t="n"/>
      <c r="E50" s="35" t="n"/>
      <c r="F50" s="466" t="n"/>
      <c r="H50" s="468" t="n"/>
      <c r="I50" s="477" t="n"/>
      <c r="J50" s="469" t="n"/>
      <c r="K50" s="472" t="n"/>
    </row>
    <row r="51" ht="14.25" customHeight="1" s="462" thickBot="1">
      <c r="A51" s="423">
        <f>IF(B51="","",COUNTA($B$3:B51))</f>
        <v/>
      </c>
      <c r="B51" s="26" t="inlineStr">
        <is>
          <t>10(257)</t>
        </is>
      </c>
      <c r="C51" s="35" t="n"/>
      <c r="D51" s="35" t="n"/>
      <c r="E51" s="35" t="n"/>
      <c r="F51" s="466" t="n"/>
    </row>
    <row r="52">
      <c r="A52" s="423">
        <f>IF(B52="","",COUNTA($B$3:B52))</f>
        <v/>
      </c>
      <c r="B52" s="26" t="inlineStr">
        <is>
          <t>11(258)</t>
        </is>
      </c>
      <c r="C52" s="21" t="inlineStr">
        <is>
          <t>郡司</t>
        </is>
      </c>
      <c r="D52" s="35" t="n"/>
      <c r="E52" s="35" t="n"/>
      <c r="F52" s="466" t="n"/>
      <c r="H52" s="350" t="inlineStr">
        <is>
          <t>依頼件数</t>
        </is>
      </c>
      <c r="I52" s="465" t="n"/>
      <c r="J52" s="467" t="n"/>
      <c r="K52" s="354">
        <f>SUM(P2:P44)+SUM(SUM(#REF!))</f>
        <v/>
      </c>
    </row>
    <row r="53" ht="14.25" customHeight="1" s="462" thickBot="1">
      <c r="A53" s="423">
        <f>IF(B53="","",COUNTA($B$3:B53))</f>
        <v/>
      </c>
      <c r="B53" s="26" t="inlineStr">
        <is>
          <t>12(736)</t>
        </is>
      </c>
      <c r="C53" s="21" t="n"/>
      <c r="D53" s="35" t="n"/>
      <c r="E53" s="35" t="n"/>
      <c r="F53" s="466" t="n"/>
      <c r="H53" s="468" t="n"/>
      <c r="I53" s="477" t="n"/>
      <c r="J53" s="469" t="n"/>
      <c r="K53" s="472" t="n"/>
    </row>
    <row r="54" ht="16.5" customHeight="1" s="462">
      <c r="A54" s="423">
        <f>IF(B54="","",COUNTA($B$3:B54))</f>
        <v/>
      </c>
      <c r="B54" s="26" t="inlineStr">
        <is>
          <t>13(737)</t>
        </is>
      </c>
      <c r="C54" s="21" t="n"/>
      <c r="D54" s="35" t="n"/>
      <c r="E54" s="35" t="n"/>
      <c r="F54" s="466" t="n"/>
      <c r="H54" s="38" t="n"/>
      <c r="I54" s="38" t="n"/>
      <c r="J54" s="38" t="n"/>
      <c r="K54" s="39" t="n"/>
    </row>
    <row r="55" ht="16.5" customHeight="1" s="462">
      <c r="A55" s="423">
        <f>IF(B55="","",COUNTA($B$3:B55))</f>
        <v/>
      </c>
      <c r="B55" s="40" t="inlineStr">
        <is>
          <t>14(738)</t>
        </is>
      </c>
      <c r="C55" s="21" t="inlineStr">
        <is>
          <t>辻井</t>
        </is>
      </c>
      <c r="D55" s="35" t="n"/>
      <c r="E55" s="35" t="n"/>
      <c r="F55" s="466" t="n"/>
      <c r="H55" s="38" t="n"/>
      <c r="I55" s="38" t="n"/>
      <c r="J55" s="38" t="n"/>
      <c r="K55" s="39" t="n"/>
    </row>
    <row r="56" ht="8.25" customHeight="1" s="462">
      <c r="A56" s="423">
        <f>IF(B56="","",COUNTA($B$3:B56))</f>
        <v/>
      </c>
      <c r="B56" s="41" t="n"/>
      <c r="C56" s="42" t="n"/>
      <c r="D56" s="43" t="n"/>
      <c r="E56" s="44" t="n"/>
      <c r="F56" s="349" t="n"/>
      <c r="H56" s="38" t="n"/>
      <c r="I56" s="38" t="n"/>
      <c r="J56" s="38" t="n"/>
      <c r="K56" s="39" t="n"/>
    </row>
    <row r="57" ht="17.25" customHeight="1" s="462">
      <c r="A57" s="423">
        <f>IF(B57="","",COUNTA($B$3:B57))</f>
        <v/>
      </c>
      <c r="B57" s="45" t="n">
        <v>7290</v>
      </c>
      <c r="C57" s="21" t="inlineStr">
        <is>
          <t>佐藤</t>
        </is>
      </c>
      <c r="D57" s="35" t="n"/>
      <c r="E57" s="348" t="n"/>
      <c r="F57" s="349" t="n"/>
      <c r="H57" s="38" t="n"/>
      <c r="I57" s="38" t="n"/>
      <c r="J57" s="38" t="n"/>
      <c r="K57" s="39" t="n"/>
    </row>
    <row r="58" ht="17.25" customHeight="1" s="462">
      <c r="A58" s="423">
        <f>IF(B58="","",COUNTA($B$3:B58))</f>
        <v/>
      </c>
      <c r="B58" s="45" t="n">
        <v>7291</v>
      </c>
      <c r="C58" s="21" t="inlineStr">
        <is>
          <t>末次</t>
        </is>
      </c>
      <c r="D58" s="35" t="n"/>
      <c r="E58" s="348" t="n"/>
      <c r="F58" s="349" t="n"/>
      <c r="H58" s="38" t="n"/>
      <c r="I58" s="38" t="n"/>
      <c r="J58" s="38" t="n"/>
      <c r="K58" s="39" t="n"/>
    </row>
    <row r="59" ht="9" customHeight="1" s="462">
      <c r="A59" s="423">
        <f>IF(B59="","",COUNTA($B$3:B59))</f>
        <v/>
      </c>
      <c r="B59" s="41" t="n"/>
      <c r="C59" s="42" t="n"/>
      <c r="D59" s="44" t="n"/>
      <c r="E59" s="44" t="n"/>
      <c r="F59" s="349" t="n"/>
      <c r="H59" s="38" t="n"/>
      <c r="I59" s="38" t="n"/>
      <c r="J59" s="38" t="n"/>
      <c r="K59" s="39" t="n"/>
    </row>
    <row r="60" ht="16.5" customHeight="1" s="462">
      <c r="A60" s="423">
        <f>IF(B60="","",COUNTA($B$3:B60))</f>
        <v/>
      </c>
      <c r="B60" s="45" t="n">
        <v>333</v>
      </c>
      <c r="C60" s="21" t="inlineStr">
        <is>
          <t>金井/奥田</t>
        </is>
      </c>
      <c r="D60" s="35" t="n"/>
      <c r="E60" s="484" t="n"/>
      <c r="F60" s="469" t="n"/>
      <c r="H60" s="38" t="n"/>
      <c r="I60" s="38" t="n"/>
      <c r="J60" s="38" t="n"/>
      <c r="K60" s="39" t="n"/>
    </row>
    <row r="61" ht="16.5" customHeight="1" s="462">
      <c r="A61" s="423">
        <f>IF(B61="","",COUNTA($B$3:B61))</f>
        <v/>
      </c>
      <c r="B61" s="46" t="n">
        <v>666</v>
      </c>
      <c r="C61" s="21" t="inlineStr">
        <is>
          <t>徳留</t>
        </is>
      </c>
      <c r="D61" s="35" t="n"/>
      <c r="E61" s="35" t="n"/>
      <c r="F61" s="466" t="n"/>
      <c r="H61" s="38" t="n"/>
      <c r="I61" s="38" t="n"/>
      <c r="J61" s="38" t="n"/>
      <c r="K61" s="39" t="n"/>
    </row>
    <row r="62" ht="16.5" customHeight="1" s="462">
      <c r="A62" s="423">
        <f>IF(B62="","",COUNTA($B$3:B62))</f>
        <v/>
      </c>
      <c r="B62" s="46" t="n">
        <v>777</v>
      </c>
      <c r="C62" s="21" t="n"/>
      <c r="D62" s="35" t="n"/>
      <c r="E62" s="348" t="n"/>
      <c r="F62" s="349" t="n"/>
      <c r="H62" s="38" t="n"/>
      <c r="I62" s="38" t="n"/>
      <c r="J62" s="38" t="n"/>
      <c r="K62" s="39" t="n"/>
    </row>
    <row r="63" ht="16.5" customHeight="1" s="462">
      <c r="A63" s="423">
        <f>IF(B63="","",COUNTA($B$3:B63))</f>
        <v/>
      </c>
      <c r="B63" s="47" t="n">
        <v>330</v>
      </c>
      <c r="C63" s="21" t="n"/>
      <c r="D63" s="35" t="n"/>
      <c r="E63" s="35" t="n"/>
      <c r="F63" s="466" t="n"/>
      <c r="H63" s="38" t="n"/>
      <c r="I63" s="38" t="n"/>
      <c r="J63" s="38" t="n"/>
      <c r="K63" s="39" t="n"/>
    </row>
    <row r="64" ht="16.5" customHeight="1" s="462">
      <c r="A64" s="423">
        <f>IF(B64="","",COUNTA($B$3:B64))</f>
        <v/>
      </c>
      <c r="B64" s="47" t="n">
        <v>990</v>
      </c>
      <c r="C64" s="21" t="inlineStr">
        <is>
          <t>山原</t>
        </is>
      </c>
      <c r="D64" s="35" t="n"/>
      <c r="E64" s="35" t="n"/>
      <c r="F64" s="466" t="n"/>
      <c r="H64" s="38" t="n"/>
      <c r="I64" s="38" t="n"/>
      <c r="J64" s="38" t="n"/>
      <c r="K64" s="39" t="n"/>
    </row>
    <row r="65">
      <c r="A65" s="423">
        <f>IF(B65="","",COUNTA($B$3:B65))</f>
        <v/>
      </c>
    </row>
    <row r="66">
      <c r="A66" s="423">
        <f>IF(B66="","",COUNTA($B$3:B66))</f>
        <v/>
      </c>
      <c r="C66" s="449" t="inlineStr">
        <is>
          <t>出発→到着</t>
        </is>
      </c>
      <c r="D66" s="420" t="inlineStr">
        <is>
          <t>備考</t>
        </is>
      </c>
    </row>
    <row r="67">
      <c r="A67" s="423">
        <f>IF(B67="","",COUNTA($B$3:B67))</f>
        <v/>
      </c>
      <c r="B67" s="27" t="inlineStr">
        <is>
          <t>①</t>
        </is>
      </c>
      <c r="C67" s="449" t="inlineStr">
        <is>
          <t>東→西</t>
        </is>
      </c>
      <c r="D67" s="485" t="inlineStr">
        <is>
          <t>①Aチーム優先</t>
        </is>
      </c>
      <c r="E67" s="486" t="n"/>
      <c r="F67" s="486" t="n"/>
      <c r="G67" s="486" t="n"/>
      <c r="H67" s="486" t="n"/>
      <c r="I67" s="486" t="n"/>
      <c r="J67" s="466" t="n"/>
    </row>
    <row r="68">
      <c r="A68" s="423">
        <f>IF(B68="","",COUNTA($B$3:B68))</f>
        <v/>
      </c>
      <c r="B68" s="27" t="inlineStr">
        <is>
          <t>②</t>
        </is>
      </c>
      <c r="C68" s="449" t="inlineStr">
        <is>
          <t>東→東</t>
        </is>
      </c>
      <c r="D68" s="485" t="inlineStr">
        <is>
          <t>②急ぎ案件の場合、道路状況も伝えてあげる。</t>
        </is>
      </c>
      <c r="E68" s="486" t="n"/>
      <c r="F68" s="486" t="n"/>
      <c r="G68" s="486" t="n"/>
      <c r="H68" s="486" t="n"/>
      <c r="I68" s="486" t="n"/>
      <c r="J68" s="466" t="n"/>
    </row>
    <row r="69">
      <c r="A69" s="423">
        <f>IF(B69="","",COUNTA($B$3:B69))</f>
        <v/>
      </c>
      <c r="B69" s="27" t="inlineStr">
        <is>
          <t>③</t>
        </is>
      </c>
      <c r="C69" s="449" t="inlineStr">
        <is>
          <t>西→東</t>
        </is>
      </c>
      <c r="D69" s="485" t="inlineStr">
        <is>
          <t>③各ドライバーの位置からの帰社のタイミング・夕方の配置</t>
        </is>
      </c>
      <c r="E69" s="486" t="n"/>
      <c r="F69" s="486" t="n"/>
      <c r="G69" s="486" t="n"/>
      <c r="H69" s="486" t="n"/>
      <c r="I69" s="486" t="n"/>
      <c r="J69" s="466" t="n"/>
    </row>
    <row r="70">
      <c r="A70" s="423">
        <f>IF(B70="","",COUNTA($B$3:B70))</f>
        <v/>
      </c>
      <c r="B70" s="27" t="inlineStr">
        <is>
          <t>④</t>
        </is>
      </c>
      <c r="C70" s="449" t="inlineStr">
        <is>
          <t>西→西</t>
        </is>
      </c>
      <c r="D70" s="485" t="inlineStr">
        <is>
          <t>④依頼を受ける際の、希望時間と現状の位置。行けるか行けないかの判断をしっかりと。</t>
        </is>
      </c>
      <c r="E70" s="486" t="n"/>
      <c r="F70" s="486" t="n"/>
      <c r="G70" s="486" t="n"/>
      <c r="H70" s="486" t="n"/>
      <c r="I70" s="486" t="n"/>
      <c r="J70" s="466" t="n"/>
    </row>
    <row r="71">
      <c r="A71" s="423">
        <f>IF(B71="","",COUNTA($B$3:B71))</f>
        <v/>
      </c>
      <c r="D71" s="485" t="inlineStr">
        <is>
          <t>⑤軽に乗るか乗らないかの判断に気を付ける。</t>
        </is>
      </c>
      <c r="E71" s="486" t="n"/>
      <c r="F71" s="486" t="n"/>
      <c r="G71" s="486" t="n"/>
      <c r="H71" s="486" t="n"/>
      <c r="I71" s="486" t="n"/>
      <c r="J71" s="466" t="n"/>
    </row>
    <row r="72">
      <c r="A72" s="423">
        <f>IF(B72="","",COUNTA($B$3:B72))</f>
        <v/>
      </c>
      <c r="B72" s="22" t="n"/>
      <c r="C72" s="420" t="inlineStr">
        <is>
          <t>現状配置(予測)</t>
        </is>
      </c>
      <c r="D72" s="485" t="inlineStr">
        <is>
          <t>⑥18/1日、1.8/1人、3件/1人</t>
        </is>
      </c>
      <c r="E72" s="486" t="n"/>
      <c r="F72" s="486" t="n"/>
      <c r="G72" s="486" t="n"/>
      <c r="H72" s="486" t="n"/>
      <c r="I72" s="486" t="n"/>
      <c r="J72" s="466" t="n"/>
    </row>
    <row r="73">
      <c r="A73" s="423">
        <f>IF(B73="","",COUNTA($B$3:B73))</f>
        <v/>
      </c>
      <c r="B73" s="420" t="inlineStr">
        <is>
          <t>西(神戸西・弥栄台)</t>
        </is>
      </c>
      <c r="C73" s="420" t="n"/>
      <c r="D73" s="485" t="inlineStr">
        <is>
          <t>⑦依頼書の見落とし(日付、入替、入出庫、場所）</t>
        </is>
      </c>
      <c r="E73" s="486" t="n"/>
      <c r="F73" s="486" t="n"/>
      <c r="G73" s="486" t="n"/>
      <c r="H73" s="486" t="n"/>
      <c r="I73" s="486" t="n"/>
      <c r="J73" s="466" t="n"/>
    </row>
    <row r="74">
      <c r="A74" s="423">
        <f>IF(B74="","",COUNTA($B$3:B74))</f>
        <v/>
      </c>
      <c r="B74" s="420" t="inlineStr">
        <is>
          <t>真ん中(摩耶・中央)</t>
        </is>
      </c>
      <c r="C74" s="420" t="n"/>
      <c r="D74" s="485" t="inlineStr">
        <is>
          <t>⑧3ｔ車と2ｔ車への振り方(西と東に振り分ける)</t>
        </is>
      </c>
      <c r="E74" s="486" t="n"/>
      <c r="F74" s="486" t="n"/>
      <c r="G74" s="486" t="n"/>
      <c r="H74" s="486" t="n"/>
      <c r="I74" s="486" t="n"/>
      <c r="J74" s="466" t="n"/>
    </row>
    <row r="75">
      <c r="A75" s="423">
        <f>IF(B75="","",COUNTA($B$3:B75))</f>
        <v/>
      </c>
      <c r="B75" s="420" t="inlineStr">
        <is>
          <t>東(尼崎・伊丹・西宮)</t>
        </is>
      </c>
      <c r="C75" s="420" t="n"/>
      <c r="D75" s="485" t="inlineStr">
        <is>
          <t>⑨</t>
        </is>
      </c>
      <c r="E75" s="486" t="n"/>
      <c r="F75" s="486" t="n"/>
      <c r="G75" s="486" t="n"/>
      <c r="H75" s="486" t="n"/>
      <c r="I75" s="486" t="n"/>
      <c r="J75" s="466" t="n"/>
    </row>
    <row r="76">
      <c r="A76" s="423">
        <f>IF(B76="","",COUNTA($B$3:B76))</f>
        <v/>
      </c>
      <c r="B76" s="48" t="inlineStr">
        <is>
          <t>極東(港区・淀屋橋)</t>
        </is>
      </c>
      <c r="C76" s="420" t="n"/>
      <c r="D76" s="49" t="n"/>
      <c r="E76" s="49" t="n"/>
      <c r="F76" s="49" t="n"/>
      <c r="G76" s="49" t="n"/>
      <c r="H76" s="49" t="n"/>
      <c r="I76" s="49" t="n"/>
      <c r="J76" s="49" t="n"/>
    </row>
    <row r="77" ht="14.25" customHeight="1" s="462" thickBot="1">
      <c r="A77" s="423">
        <f>IF(B77="","",COUNTA($B$3:B77))</f>
        <v/>
      </c>
    </row>
    <row r="78">
      <c r="A78" s="423">
        <f>IF(B78="","",COUNTA($B$3:B78))</f>
        <v/>
      </c>
      <c r="C78" s="473" t="inlineStr">
        <is>
          <t>合計額/380</t>
        </is>
      </c>
      <c r="D78" s="358">
        <f>SUM(G78)</f>
        <v/>
      </c>
      <c r="F78" s="360" t="inlineStr">
        <is>
          <t>売り上げ額</t>
        </is>
      </c>
      <c r="G78" s="389">
        <f>SUM(SUM(K3:K44))+SUM(#REF!)</f>
        <v/>
      </c>
      <c r="H78" s="465" t="n"/>
      <c r="I78" s="465" t="n"/>
      <c r="J78" s="467" t="n"/>
    </row>
    <row r="79" ht="14.25" customHeight="1" s="462" thickBot="1">
      <c r="A79" s="423">
        <f>IF(B79="","",COUNTA($B$3:B79))</f>
        <v/>
      </c>
      <c r="C79" s="474" t="n"/>
      <c r="D79" s="475" t="n"/>
      <c r="F79" s="468" t="n"/>
      <c r="G79" s="476" t="n"/>
      <c r="H79" s="477" t="n"/>
      <c r="I79" s="477" t="n"/>
      <c r="J79" s="469" t="n"/>
    </row>
    <row r="80">
      <c r="A80" s="423">
        <f>IF(B80="","",COUNTA($B$3:B80))</f>
        <v/>
      </c>
      <c r="C80" s="478" t="inlineStr">
        <is>
          <t>前日までの売上合計額</t>
        </is>
      </c>
      <c r="D80" s="487">
        <f>SUM(B89)</f>
        <v/>
      </c>
    </row>
    <row r="81" ht="14.25" customHeight="1" s="462" thickBot="1">
      <c r="A81" s="423">
        <f>IF(B81="","",COUNTA($B$3:B81))</f>
        <v/>
      </c>
      <c r="C81" s="480" t="n"/>
      <c r="D81" s="480" t="n"/>
      <c r="F81" s="420" t="inlineStr">
        <is>
          <t>金井（55)</t>
        </is>
      </c>
      <c r="G81" s="400" t="n"/>
      <c r="H81" s="466" t="n"/>
      <c r="I81" s="126" t="n"/>
    </row>
    <row r="82" ht="14.25" customHeight="1" s="462" thickTop="1">
      <c r="A82" s="423">
        <f>IF(B82="","",COUNTA($B$3:B82))</f>
        <v/>
      </c>
      <c r="D82" s="346">
        <f>D78+D80</f>
        <v/>
      </c>
      <c r="F82" s="420" t="inlineStr">
        <is>
          <t>粟津(55)</t>
        </is>
      </c>
      <c r="G82" s="397" t="n"/>
      <c r="H82" s="466" t="n"/>
      <c r="I82" s="127" t="n"/>
    </row>
    <row r="83">
      <c r="A83" s="423">
        <f>IF(B83="","",COUNTA($B$3:B83))</f>
        <v/>
      </c>
      <c r="F83" s="420" t="inlineStr">
        <is>
          <t>砂川(50)</t>
        </is>
      </c>
      <c r="G83" s="397" t="n"/>
      <c r="H83" s="466" t="n"/>
      <c r="I83" s="127" t="n"/>
    </row>
    <row r="84">
      <c r="A84" s="423">
        <f>IF(B84="","",COUNTA($B$3:B84))</f>
        <v/>
      </c>
      <c r="C84" s="2" t="inlineStr">
        <is>
          <t>高代</t>
        </is>
      </c>
      <c r="F84" s="420" t="inlineStr">
        <is>
          <t>前川(50)</t>
        </is>
      </c>
      <c r="G84" s="397" t="n"/>
      <c r="H84" s="466" t="n"/>
      <c r="I84" s="127" t="n"/>
    </row>
    <row r="85">
      <c r="A85" s="423">
        <f>IF(B85="","",COUNTA($B$3:B85))</f>
        <v/>
      </c>
      <c r="C85" s="2" t="inlineStr">
        <is>
          <t>返還代</t>
        </is>
      </c>
      <c r="F85" s="420" t="inlineStr">
        <is>
          <t>佐藤(50)</t>
        </is>
      </c>
      <c r="G85" s="400" t="n"/>
      <c r="H85" s="466" t="n"/>
      <c r="I85" s="126" t="n"/>
    </row>
    <row r="86">
      <c r="A86" s="423">
        <f>IF(B86="","",COUNTA($B$3:B86))</f>
        <v/>
      </c>
      <c r="C86" s="2" t="inlineStr">
        <is>
          <t>回収率</t>
        </is>
      </c>
      <c r="D86" s="128">
        <f>D85/D84</f>
        <v/>
      </c>
      <c r="F86" s="420" t="inlineStr">
        <is>
          <t>末次(55)</t>
        </is>
      </c>
      <c r="G86" s="397" t="n"/>
      <c r="H86" s="466" t="n"/>
      <c r="I86" s="127" t="n"/>
    </row>
    <row r="87">
      <c r="A87" s="423">
        <f>IF(B87="","",COUNTA($B$3:B87))</f>
        <v/>
      </c>
      <c r="C87" s="2" t="inlineStr">
        <is>
          <t>費</t>
        </is>
      </c>
      <c r="D87" s="2">
        <f>D84-D85</f>
        <v/>
      </c>
      <c r="F87" s="420" t="inlineStr">
        <is>
          <t>筒井(75)</t>
        </is>
      </c>
      <c r="G87" s="397" t="n"/>
      <c r="H87" s="466" t="n"/>
      <c r="I87" s="127" t="n"/>
    </row>
    <row r="88">
      <c r="A88" s="423">
        <f>IF(B88="","",COUNTA($B$3:B88))</f>
        <v/>
      </c>
      <c r="F88" s="420" t="inlineStr">
        <is>
          <t>山岸(40)</t>
        </is>
      </c>
      <c r="G88" s="397" t="n"/>
      <c r="H88" s="466" t="n"/>
      <c r="I88" s="127" t="n"/>
    </row>
    <row r="89" ht="23.25" customHeight="1" s="462">
      <c r="A89" s="423">
        <f>IF(B89="","",COUNTA($B$3:B89))</f>
        <v/>
      </c>
      <c r="B89" s="71" t="n"/>
      <c r="F89" s="420" t="inlineStr">
        <is>
          <t>多苗(30)</t>
        </is>
      </c>
      <c r="G89" s="397" t="n"/>
      <c r="H89" s="466" t="n"/>
      <c r="I89" s="127" t="n"/>
      <c r="L89" s="2" t="inlineStr">
        <is>
          <t> </t>
        </is>
      </c>
    </row>
    <row r="90">
      <c r="A90" s="423">
        <f>IF(B90="","",COUNTA($B$3:B90))</f>
        <v/>
      </c>
    </row>
    <row r="91">
      <c r="A91" s="423">
        <f>IF(B91="","",COUNTA($B$3:B91))</f>
        <v/>
      </c>
    </row>
    <row r="92">
      <c r="A92" s="423">
        <f>IF(B92="","",COUNTA($B$3:B92))</f>
        <v/>
      </c>
    </row>
    <row r="93">
      <c r="A93" s="423">
        <f>IF(B93="","",COUNTA($B$3:B93))</f>
        <v/>
      </c>
    </row>
    <row r="94">
      <c r="A94" s="423">
        <f>IF(B94="","",COUNTA($B$3:B94))</f>
        <v/>
      </c>
    </row>
    <row r="95">
      <c r="A95" s="423">
        <f>IF(B95="","",COUNTA($B$3:B95))</f>
        <v/>
      </c>
    </row>
    <row r="96">
      <c r="A96" s="423">
        <f>IF(B96="","",COUNTA($B$3:B96))</f>
        <v/>
      </c>
    </row>
    <row r="97">
      <c r="A97" s="423">
        <f>IF(B97="","",COUNTA($B$3:B97))</f>
        <v/>
      </c>
    </row>
    <row r="98">
      <c r="A98" s="423">
        <f>IF(B98="","",COUNTA($B$3:B98))</f>
        <v/>
      </c>
    </row>
    <row r="99">
      <c r="A99" s="423">
        <f>IF(B99="","",COUNTA($B$3:B99))</f>
        <v/>
      </c>
    </row>
    <row r="100">
      <c r="A100" s="423">
        <f>IF(B100="","",COUNTA($B$3:B100))</f>
        <v/>
      </c>
    </row>
  </sheetData>
  <mergeCells count="55">
    <mergeCell ref="D71:J71"/>
    <mergeCell ref="E50:F50"/>
    <mergeCell ref="G81:H81"/>
    <mergeCell ref="Q3:R3"/>
    <mergeCell ref="E55:F55"/>
    <mergeCell ref="G86:H86"/>
    <mergeCell ref="D74:J74"/>
    <mergeCell ref="D68:J68"/>
    <mergeCell ref="Q28:R28"/>
    <mergeCell ref="D80:D81"/>
    <mergeCell ref="D73:J73"/>
    <mergeCell ref="E52:F52"/>
    <mergeCell ref="Q33:R33"/>
    <mergeCell ref="E48:F48"/>
    <mergeCell ref="G78:J79"/>
    <mergeCell ref="D67:J67"/>
    <mergeCell ref="E64:F64"/>
    <mergeCell ref="Q8:R8"/>
    <mergeCell ref="G82:H82"/>
    <mergeCell ref="E51:F51"/>
    <mergeCell ref="C80:C81"/>
    <mergeCell ref="Q29:R29"/>
    <mergeCell ref="Q5:R5"/>
    <mergeCell ref="K47:K48"/>
    <mergeCell ref="E63:F63"/>
    <mergeCell ref="D69:J69"/>
    <mergeCell ref="D78:D79"/>
    <mergeCell ref="E60:F60"/>
    <mergeCell ref="B1:C1"/>
    <mergeCell ref="Q35:R35"/>
    <mergeCell ref="G87:H87"/>
    <mergeCell ref="E47:F47"/>
    <mergeCell ref="Q34:R34"/>
    <mergeCell ref="G83:H83"/>
    <mergeCell ref="K52:K53"/>
    <mergeCell ref="H49:J50"/>
    <mergeCell ref="E49:F49"/>
    <mergeCell ref="H52:J53"/>
    <mergeCell ref="Q44:R44"/>
    <mergeCell ref="C78:C79"/>
    <mergeCell ref="G89:H89"/>
    <mergeCell ref="E61:F61"/>
    <mergeCell ref="G88:H88"/>
    <mergeCell ref="Q2:R2"/>
    <mergeCell ref="E54:F54"/>
    <mergeCell ref="D70:J70"/>
    <mergeCell ref="G85:H85"/>
    <mergeCell ref="D82:D83"/>
    <mergeCell ref="D75:J75"/>
    <mergeCell ref="F78:F79"/>
    <mergeCell ref="E53:F53"/>
    <mergeCell ref="H47:J48"/>
    <mergeCell ref="D72:J72"/>
    <mergeCell ref="G84:H84"/>
    <mergeCell ref="K49:K50"/>
  </mergeCells>
  <conditionalFormatting sqref="K49:K50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2">
    <cfRule type="cellIs" priority="3" operator="greaterThan" dxfId="6">
      <formula>30</formula>
    </cfRule>
    <cfRule type="cellIs" priority="4" operator="greaterThan" dxfId="5">
      <formula>30</formula>
    </cfRule>
  </conditionalFormatting>
  <conditionalFormatting sqref="D5:D52">
    <cfRule type="containsText" priority="5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/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Q63"/>
  <sheetViews>
    <sheetView topLeftCell="A16" zoomScale="70" zoomScaleNormal="70" workbookViewId="0">
      <selection activeCell="L52" sqref="L52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20.25" customWidth="1" style="77" min="10" max="10"/>
    <col width="8.75" customWidth="1" style="2" min="11" max="16384"/>
  </cols>
  <sheetData>
    <row r="1"/>
    <row r="2" ht="15" customHeight="1" s="462" thickBot="1">
      <c r="B2" s="488" t="n">
        <v>46174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特記事項</t>
        </is>
      </c>
      <c r="K3" s="29" t="inlineStr">
        <is>
          <t>距離</t>
        </is>
      </c>
      <c r="L3" s="30" t="inlineStr">
        <is>
          <t>終了地</t>
        </is>
      </c>
      <c r="M3" s="30" t="inlineStr">
        <is>
          <t>予定時間</t>
        </is>
      </c>
      <c r="N3" s="31" t="inlineStr">
        <is>
          <t>必要時間</t>
        </is>
      </c>
      <c r="O3" s="32" t="inlineStr">
        <is>
          <t>件数</t>
        </is>
      </c>
      <c r="P3" s="32" t="inlineStr">
        <is>
          <t>メモ</t>
        </is>
      </c>
      <c r="Q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269" t="n"/>
      <c r="J4" s="51" t="n"/>
      <c r="K4" s="55" t="n"/>
      <c r="L4" s="388" t="n"/>
      <c r="M4" s="388" t="n"/>
      <c r="N4" s="388" t="n"/>
      <c r="O4" s="388" t="n"/>
      <c r="P4" s="388" t="n"/>
      <c r="Q4" s="465" t="n"/>
    </row>
    <row r="5" ht="27" customHeight="1" s="462">
      <c r="A5" s="423">
        <f>IF(B5="","",COUNTA($B$5:B5))</f>
        <v/>
      </c>
      <c r="B5" s="441" t="n"/>
      <c r="C5" s="63" t="n"/>
      <c r="D5" s="440" t="n"/>
      <c r="E5" s="441" t="n"/>
      <c r="F5" s="57" t="n"/>
      <c r="G5" s="65" t="n"/>
      <c r="H5" s="262" t="n"/>
      <c r="I5" s="295">
        <f>IFERROR(_xlfn.XLOOKUP(H5,案件・ドライバー一覧!$L$3:$L$17,案件・ドライバー一覧!$M$3:$M$17,""),"")</f>
        <v/>
      </c>
      <c r="J5" s="72">
        <f>IF(OR(H5="",K5=""),"",IFERROR(_xlfn.LET(_xlpm.vt,VLOOKUP(IFERROR(VALUE(LEFT(H5,FIND("＊",H5&amp;"＊")-1)),H5),運賃マスター!$A$22:$B$40,2,FALSE),_xlpm.d,K5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  <c r="K5" s="61" t="n"/>
      <c r="L5" s="449" t="n"/>
      <c r="M5" s="449" t="n"/>
      <c r="N5" s="449" t="n"/>
      <c r="O5" s="449" t="n"/>
      <c r="P5" s="449" t="n"/>
    </row>
    <row r="6" ht="25.5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262" t="n"/>
      <c r="I6" s="270" t="n"/>
      <c r="J6" s="72" t="n"/>
      <c r="K6" s="61" t="n"/>
      <c r="L6" s="449" t="n"/>
      <c r="M6" s="449" t="n"/>
      <c r="N6" s="449" t="n"/>
      <c r="O6" s="449" t="n"/>
      <c r="P6" s="449" t="n"/>
      <c r="Q6" s="449" t="n"/>
    </row>
    <row r="7" ht="27" customHeight="1" s="462">
      <c r="A7" s="423">
        <f>IF(B7="","",COUNTA($B$5:B7))</f>
        <v/>
      </c>
      <c r="B7" s="441" t="n"/>
      <c r="C7" s="63" t="n"/>
      <c r="D7" s="441" t="n"/>
      <c r="E7" s="441" t="n"/>
      <c r="F7" s="57" t="n"/>
      <c r="G7" s="207" t="n"/>
      <c r="H7" s="262" t="n"/>
      <c r="I7" s="270" t="n"/>
      <c r="J7" s="72" t="n"/>
      <c r="K7" s="61" t="n"/>
      <c r="L7" s="449" t="n"/>
      <c r="M7" s="449" t="n"/>
      <c r="N7" s="449" t="n"/>
      <c r="O7" s="449" t="n"/>
      <c r="P7" s="449" t="n"/>
      <c r="Q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262" t="n"/>
      <c r="I8" s="270" t="n"/>
      <c r="J8" s="72" t="n"/>
      <c r="K8" s="61" t="n"/>
      <c r="L8" s="449" t="n"/>
      <c r="M8" s="449" t="n"/>
      <c r="N8" s="449" t="n"/>
      <c r="O8" s="449" t="n"/>
      <c r="P8" s="449" t="n"/>
      <c r="Q8" s="449" t="n"/>
    </row>
    <row r="9" ht="27.75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134" t="n"/>
      <c r="H9" s="262" t="n"/>
      <c r="I9" s="295">
        <f>IFERROR(_xlfn.XLOOKUP(H9,案件・ドライバー一覧!$L$3:$L$17,案件・ドライバー一覧!$M$3:$M$17,""),"")</f>
        <v/>
      </c>
      <c r="J9" s="72" t="n"/>
      <c r="K9" s="61" t="n"/>
      <c r="L9" s="449" t="n"/>
      <c r="M9" s="449" t="n"/>
      <c r="N9" s="449" t="n"/>
      <c r="O9" s="449" t="n"/>
      <c r="P9" s="449" t="n"/>
      <c r="Q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262" t="n"/>
      <c r="I10" s="270" t="n"/>
      <c r="J10" s="72" t="n"/>
      <c r="K10" s="61" t="n"/>
      <c r="L10" s="449" t="n"/>
      <c r="M10" s="449" t="n"/>
      <c r="N10" s="449" t="n"/>
      <c r="O10" s="449" t="n"/>
      <c r="P10" s="449" t="n"/>
      <c r="Q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262" t="n"/>
      <c r="I11" s="271" t="n"/>
      <c r="J11" s="73">
        <f>IF(OR(H11="",K11=""),"",IFERROR(_xlfn.LET(_xlpm.vt,VLOOKUP(IFERROR(VALUE(LEFT(H11,FIND("＊",H11&amp;"＊")-1)),H11),運賃マスター!$A$22:$B$40,2,FALSE),_xlpm.d,K11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  <c r="K11" s="61" t="n"/>
      <c r="L11" s="449" t="n"/>
      <c r="M11" s="449" t="n"/>
      <c r="N11" s="449" t="n"/>
      <c r="O11" s="449" t="n"/>
      <c r="P11" s="449" t="n"/>
    </row>
    <row r="12" ht="27" customHeight="1" s="462">
      <c r="A12" s="423">
        <f>IF(B12="","",COUNTA($B$5:B12))</f>
        <v/>
      </c>
      <c r="B12" s="441" t="n"/>
      <c r="C12" s="63" t="n"/>
      <c r="D12" s="441" t="n"/>
      <c r="E12" s="441" t="n"/>
      <c r="F12" s="57" t="n"/>
      <c r="G12" s="59" t="n"/>
      <c r="H12" s="262" t="n"/>
      <c r="I12" s="270" t="n"/>
      <c r="J12" s="72" t="n"/>
      <c r="K12" s="61" t="n"/>
      <c r="L12" s="449" t="n"/>
      <c r="M12" s="449" t="n"/>
      <c r="N12" s="449" t="n"/>
      <c r="O12" s="449" t="n"/>
      <c r="P12" s="449" t="n"/>
      <c r="Q12" s="449" t="n"/>
    </row>
    <row r="13" ht="29.25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262" t="n"/>
      <c r="I13" s="295">
        <f>IFERROR(_xlfn.XLOOKUP(H13,案件・ドライバー一覧!$L$3:$L$17,案件・ドライバー一覧!$M$3:$M$17,""),"")</f>
        <v/>
      </c>
      <c r="J13" s="72" t="n"/>
      <c r="K13" s="61" t="n"/>
      <c r="L13" s="449" t="n"/>
      <c r="M13" s="449" t="n"/>
      <c r="N13" s="449" t="n"/>
      <c r="O13" s="449" t="n"/>
      <c r="P13" s="449" t="n"/>
      <c r="Q13" s="449" t="n"/>
    </row>
    <row r="14" ht="27" customHeight="1" s="462">
      <c r="A14" s="423">
        <f>IF(B14="","",COUNTA($B$5:B14))</f>
        <v/>
      </c>
      <c r="B14" s="441" t="n"/>
      <c r="C14" s="63" t="n"/>
      <c r="D14" s="441" t="n"/>
      <c r="E14" s="441" t="n"/>
      <c r="F14" s="57" t="n"/>
      <c r="G14" s="65" t="n"/>
      <c r="H14" s="262" t="n"/>
      <c r="I14" s="270" t="n"/>
      <c r="J14" s="72" t="n"/>
      <c r="K14" s="61" t="n"/>
      <c r="L14" s="449" t="n"/>
      <c r="M14" s="449" t="n"/>
      <c r="N14" s="449" t="n"/>
      <c r="O14" s="449" t="n"/>
      <c r="P14" s="449" t="n"/>
      <c r="Q14" s="449" t="n"/>
    </row>
    <row r="15" ht="27" customHeight="1" s="462">
      <c r="A15" s="423">
        <f>IF(B15="","",COUNTA($B$5:B15))</f>
        <v/>
      </c>
      <c r="B15" s="57" t="n"/>
      <c r="C15" s="420" t="n"/>
      <c r="D15" s="441" t="n"/>
      <c r="E15" s="441" t="n"/>
      <c r="F15" s="57" t="n"/>
      <c r="G15" s="65" t="n"/>
      <c r="H15" s="74" t="n"/>
      <c r="I15" s="270" t="n"/>
      <c r="J15" s="72">
        <f>IF(OR(H15="",K15=""),"",IFERROR(_xlfn.LET(_xlpm.vt,VLOOKUP(IFERROR(VALUE(LEFT(H15,FIND("＊",H15&amp;"＊")-1)),H15),運賃マスター!$A$22:$B$40,2,FALSE),_xlpm.d,K15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  <c r="K15" s="61" t="n"/>
      <c r="L15" s="449" t="n"/>
      <c r="M15" s="449" t="n"/>
      <c r="N15" s="449" t="n"/>
      <c r="O15" s="449" t="n"/>
      <c r="P15" s="449" t="n"/>
      <c r="Q15" s="449" t="n"/>
    </row>
    <row r="16" ht="27" customHeight="1" s="462">
      <c r="A16" s="423">
        <f>IF(B16="","",COUNTA($B$5:B16))</f>
        <v/>
      </c>
      <c r="B16" s="420" t="n"/>
      <c r="C16" s="420" t="n"/>
      <c r="D16" s="441" t="n"/>
      <c r="E16" s="63" t="n"/>
      <c r="F16" s="420" t="n"/>
      <c r="G16" s="254" t="n"/>
      <c r="H16" s="74" t="n"/>
      <c r="I16" s="271" t="n"/>
      <c r="J16" s="72">
        <f>IF(OR(H16="",K16=""),"",IFERROR(_xlfn.LET(_xlpm.vt,VLOOKUP(IFERROR(VALUE(LEFT(H16,FIND("＊",H16&amp;"＊")-1)),H16),運賃マスター!$A$22:$B$40,2,FALSE),_xlpm.d,K16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  <c r="K16" s="61" t="n"/>
      <c r="L16" s="449" t="n"/>
      <c r="M16" s="449" t="n"/>
      <c r="N16" s="449" t="n"/>
      <c r="O16" s="449" t="n"/>
      <c r="P16" s="449" t="n"/>
      <c r="Q16" s="449" t="n"/>
    </row>
    <row r="17" ht="27" customHeight="1" s="462">
      <c r="A17" s="253" t="n"/>
      <c r="B17" s="18" t="n"/>
      <c r="C17" s="18" t="n"/>
      <c r="D17" s="33" t="n"/>
      <c r="E17" s="18" t="n"/>
      <c r="F17" s="18" t="n"/>
      <c r="G17" s="19" t="n"/>
      <c r="H17" s="33" t="n"/>
      <c r="I17" s="18" t="n"/>
      <c r="J17" s="33">
        <f>IF(OR(H17="",K17=""),"",IFERROR(_xlfn.LET(_xlpm.vt,VLOOKUP(IFERROR(VALUE(LEFT(H17,FIND("＊",H17&amp;"＊")-1)),H17),運賃マスター!$A$22:$B$40,2,FALSE),_xlpm.d,K17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18" ht="27" customHeight="1" s="462" thickBot="1">
      <c r="J18" s="2">
        <f>IF(OR(H18="",K18=""),"",IFERROR(_xlfn.LET(_xlpm.vt,VLOOKUP(IFERROR(VALUE(LEFT(H18,FIND("＊",H18&amp;"＊")-1)),H18),運賃マスター!$A$22:$B$40,2,FALSE),_xlpm.d,K18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19" ht="27" customHeight="1" s="462">
      <c r="B19" s="22" t="n"/>
      <c r="C19" s="25" t="n"/>
      <c r="D19" s="25" t="inlineStr">
        <is>
          <t>現在待機場所</t>
        </is>
      </c>
      <c r="E19" s="25" t="inlineStr">
        <is>
          <t>待機予定場所</t>
        </is>
      </c>
      <c r="F19" s="466" t="n"/>
      <c r="H19" s="375" t="inlineStr">
        <is>
          <t>目標距離</t>
        </is>
      </c>
      <c r="I19" s="407" t="n"/>
      <c r="J19" s="377">
        <f>IF(OR(H19="",K19=""),"",IFERROR(_xlfn.LET(_xlpm.vt,VLOOKUP(IFERROR(VALUE(LEFT(H19,FIND("＊",H19&amp;"＊")-1)),H19),運賃マスター!$A$22:$B$40,2,FALSE),_xlpm.d,K19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20" ht="27" customHeight="1" s="462" thickBot="1">
      <c r="B20" s="26" t="inlineStr">
        <is>
          <t>2(255)</t>
        </is>
      </c>
      <c r="C20" s="21" t="inlineStr">
        <is>
          <t>山岸</t>
        </is>
      </c>
      <c r="D20" s="34" t="n"/>
      <c r="E20" s="34" t="n"/>
      <c r="F20" s="466" t="n"/>
      <c r="H20" s="489" t="n"/>
      <c r="I20" s="197" t="n"/>
      <c r="J20" s="470" t="n"/>
    </row>
    <row r="21" ht="17.25" customHeight="1" s="462">
      <c r="B21" s="26" t="inlineStr">
        <is>
          <t>8(254)</t>
        </is>
      </c>
      <c r="C21" s="21" t="inlineStr">
        <is>
          <t>砂川</t>
        </is>
      </c>
      <c r="D21" s="35" t="n"/>
      <c r="E21" s="35" t="n"/>
      <c r="F21" s="466" t="n"/>
      <c r="H21" s="368" t="inlineStr">
        <is>
          <t>残距離</t>
        </is>
      </c>
      <c r="I21" s="409" t="n"/>
      <c r="J21" s="354">
        <f>IF(OR(H21="",K21=""),"",IFERROR(_xlfn.LET(_xlpm.vt,VLOOKUP(IFERROR(VALUE(LEFT(H21,FIND("＊",H21&amp;"＊")-1)),H21),運賃マスター!$A$22:$B$40,2,FALSE),_xlpm.d,K21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22" ht="18" customHeight="1" s="462" thickBot="1">
      <c r="B22" s="26" t="inlineStr">
        <is>
          <t>9(256)</t>
        </is>
      </c>
      <c r="C22" s="21" t="inlineStr">
        <is>
          <t>前川</t>
        </is>
      </c>
      <c r="D22" s="35" t="n"/>
      <c r="E22" s="35" t="n"/>
      <c r="F22" s="466" t="n"/>
      <c r="H22" s="489" t="n"/>
      <c r="I22" s="408" t="n"/>
      <c r="J22" s="472" t="n"/>
    </row>
    <row r="23" ht="14.25" customHeight="1" s="462" thickBot="1">
      <c r="B23" s="26" t="inlineStr">
        <is>
          <t>10(257)</t>
        </is>
      </c>
      <c r="C23" s="35" t="n"/>
      <c r="D23" s="35" t="n"/>
      <c r="E23" s="35" t="n"/>
      <c r="F23" s="466" t="n"/>
      <c r="J23" s="2">
        <f>IF(OR(H23="",K23=""),"",IFERROR(_xlfn.LET(_xlpm.vt,VLOOKUP(IFERROR(VALUE(LEFT(H23,FIND("＊",H23&amp;"＊")-1)),H23),運賃マスター!$A$22:$B$40,2,FALSE),_xlpm.d,K23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24">
      <c r="B24" s="26" t="inlineStr">
        <is>
          <t>11(258)</t>
        </is>
      </c>
      <c r="C24" s="21" t="inlineStr">
        <is>
          <t>郡司</t>
        </is>
      </c>
      <c r="D24" s="35" t="n"/>
      <c r="E24" s="35" t="n"/>
      <c r="F24" s="466" t="n"/>
      <c r="H24" s="350" t="inlineStr">
        <is>
          <t>依頼件数</t>
        </is>
      </c>
      <c r="I24" s="401" t="n"/>
      <c r="J24" s="354">
        <f>IF(OR(H24="",K24=""),"",IFERROR(_xlfn.LET(_xlpm.vt,VLOOKUP(IFERROR(VALUE(LEFT(H24,FIND("＊",H24&amp;"＊")-1)),H24),運賃マスター!$A$22:$B$40,2,FALSE),_xlpm.d,K24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25" ht="14.25" customHeight="1" s="462" thickBot="1">
      <c r="B25" s="26" t="inlineStr">
        <is>
          <t>12(736)</t>
        </is>
      </c>
      <c r="C25" s="21" t="n"/>
      <c r="D25" s="35" t="n"/>
      <c r="E25" s="35" t="n"/>
      <c r="F25" s="466" t="n"/>
      <c r="H25" s="489" t="n"/>
      <c r="I25" s="402" t="n"/>
      <c r="J25" s="472" t="n"/>
    </row>
    <row r="26" ht="17.25" customHeight="1" s="462">
      <c r="B26" s="26" t="inlineStr">
        <is>
          <t>13(737)</t>
        </is>
      </c>
      <c r="C26" s="21" t="n"/>
      <c r="D26" s="35" t="n"/>
      <c r="E26" s="35" t="n"/>
      <c r="F26" s="466" t="n"/>
      <c r="H26" s="38" t="n"/>
      <c r="I26" s="38" t="n"/>
      <c r="J26" s="39">
        <f>IF(OR(H26="",K26=""),"",IFERROR(_xlfn.LET(_xlpm.vt,VLOOKUP(IFERROR(VALUE(LEFT(H26,FIND("＊",H26&amp;"＊")-1)),H26),運賃マスター!$A$22:$B$40,2,FALSE),_xlpm.d,K26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27" ht="17.25" customHeight="1" s="462">
      <c r="B27" s="40" t="inlineStr">
        <is>
          <t>14(738)</t>
        </is>
      </c>
      <c r="C27" s="21" t="inlineStr">
        <is>
          <t>辻井</t>
        </is>
      </c>
      <c r="D27" s="35" t="n"/>
      <c r="E27" s="35" t="n"/>
      <c r="F27" s="466" t="n"/>
      <c r="H27" s="38" t="n"/>
      <c r="I27" s="38" t="n"/>
      <c r="J27" s="39">
        <f>IF(OR(H27="",K27=""),"",IFERROR(_xlfn.LET(_xlpm.vt,VLOOKUP(IFERROR(VALUE(LEFT(H27,FIND("＊",H27&amp;"＊")-1)),H27),運賃マスター!$A$22:$B$40,2,FALSE),_xlpm.d,K27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28" ht="17.25" customHeight="1" s="462">
      <c r="B28" s="41" t="n"/>
      <c r="C28" s="42" t="n"/>
      <c r="D28" s="43" t="n"/>
      <c r="E28" s="44" t="n"/>
      <c r="F28" s="349" t="n"/>
      <c r="H28" s="38" t="n"/>
      <c r="I28" s="38" t="n"/>
      <c r="J28" s="39">
        <f>IF(OR(H28="",K28=""),"",IFERROR(_xlfn.LET(_xlpm.vt,VLOOKUP(IFERROR(VALUE(LEFT(H28,FIND("＊",H28&amp;"＊")-1)),H28),運賃マスター!$A$22:$B$40,2,FALSE),_xlpm.d,K28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29" ht="17.25" customHeight="1" s="462">
      <c r="B29" s="45" t="n">
        <v>7290</v>
      </c>
      <c r="C29" s="21" t="inlineStr">
        <is>
          <t>佐藤</t>
        </is>
      </c>
      <c r="D29" s="35" t="n"/>
      <c r="E29" s="348" t="n"/>
      <c r="F29" s="349" t="n"/>
      <c r="H29" s="38" t="n"/>
      <c r="I29" s="38" t="n"/>
      <c r="J29" s="39">
        <f>IF(OR(H29="",K29=""),"",IFERROR(_xlfn.LET(_xlpm.vt,VLOOKUP(IFERROR(VALUE(LEFT(H29,FIND("＊",H29&amp;"＊")-1)),H29),運賃マスター!$A$22:$B$40,2,FALSE),_xlpm.d,K29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30" ht="16.5" customHeight="1" s="462">
      <c r="B30" s="45" t="n">
        <v>7291</v>
      </c>
      <c r="C30" s="21" t="inlineStr">
        <is>
          <t>末次</t>
        </is>
      </c>
      <c r="D30" s="35" t="n"/>
      <c r="E30" s="348" t="n"/>
      <c r="F30" s="349" t="n"/>
      <c r="H30" s="38" t="n"/>
      <c r="I30" s="38" t="n"/>
      <c r="J30" s="39">
        <f>IF(OR(H30="",K30=""),"",IFERROR(_xlfn.LET(_xlpm.vt,VLOOKUP(IFERROR(VALUE(LEFT(H30,FIND("＊",H30&amp;"＊")-1)),H30),運賃マスター!$A$22:$B$40,2,FALSE),_xlpm.d,K30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31" ht="16.5" customHeight="1" s="462">
      <c r="B31" s="41" t="n"/>
      <c r="C31" s="42" t="n"/>
      <c r="D31" s="44" t="n"/>
      <c r="E31" s="44" t="n"/>
      <c r="F31" s="349" t="n"/>
      <c r="H31" s="38" t="n"/>
      <c r="I31" s="38" t="n"/>
      <c r="J31" s="39">
        <f>IF(OR(H31="",K31=""),"",IFERROR(_xlfn.LET(_xlpm.vt,VLOOKUP(IFERROR(VALUE(LEFT(H31,FIND("＊",H31&amp;"＊")-1)),H31),運賃マスター!$A$22:$B$40,2,FALSE),_xlpm.d,K31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32" ht="8.25" customHeight="1" s="462">
      <c r="B32" s="45" t="n">
        <v>333</v>
      </c>
      <c r="C32" s="21" t="inlineStr">
        <is>
          <t>金井/奥田</t>
        </is>
      </c>
      <c r="D32" s="35" t="n"/>
      <c r="E32" s="484" t="n"/>
      <c r="F32" s="469" t="n"/>
      <c r="H32" s="38" t="n"/>
      <c r="I32" s="38" t="n"/>
      <c r="J32" s="39">
        <f>IF(OR(H32="",K32=""),"",IFERROR(_xlfn.LET(_xlpm.vt,VLOOKUP(IFERROR(VALUE(LEFT(H32,FIND("＊",H32&amp;"＊")-1)),H32),運賃マスター!$A$22:$B$40,2,FALSE),_xlpm.d,K32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33" ht="17.25" customHeight="1" s="462">
      <c r="B33" s="46" t="n">
        <v>666</v>
      </c>
      <c r="C33" s="21" t="inlineStr">
        <is>
          <t>徳留</t>
        </is>
      </c>
      <c r="D33" s="35" t="n"/>
      <c r="E33" s="35" t="n"/>
      <c r="F33" s="466" t="n"/>
      <c r="H33" s="38" t="n"/>
      <c r="I33" s="38" t="n"/>
      <c r="J33" s="39">
        <f>IF(OR(H33="",K33=""),"",IFERROR(_xlfn.LET(_xlpm.vt,VLOOKUP(IFERROR(VALUE(LEFT(H33,FIND("＊",H33&amp;"＊")-1)),H33),運賃マスター!$A$22:$B$40,2,FALSE),_xlpm.d,K33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34" ht="17.25" customHeight="1" s="462">
      <c r="B34" s="46" t="n">
        <v>777</v>
      </c>
      <c r="C34" s="21" t="n"/>
      <c r="D34" s="35" t="n"/>
      <c r="E34" s="348" t="n"/>
      <c r="F34" s="349" t="n"/>
      <c r="H34" s="38" t="n"/>
      <c r="I34" s="38" t="n"/>
      <c r="J34" s="39">
        <f>IF(OR(H34="",K34=""),"",IFERROR(_xlfn.LET(_xlpm.vt,VLOOKUP(IFERROR(VALUE(LEFT(H34,FIND("＊",H34&amp;"＊")-1)),H34),運賃マスター!$A$22:$B$40,2,FALSE),_xlpm.d,K34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35" ht="9" customHeight="1" s="462">
      <c r="B35" s="47" t="n">
        <v>330</v>
      </c>
      <c r="C35" s="21" t="n"/>
      <c r="D35" s="35" t="n"/>
      <c r="E35" s="35" t="n"/>
      <c r="F35" s="466" t="n"/>
      <c r="H35" s="38" t="n"/>
      <c r="I35" s="38" t="n"/>
      <c r="J35" s="39">
        <f>IF(OR(H35="",K35=""),"",IFERROR(_xlfn.LET(_xlpm.vt,VLOOKUP(IFERROR(VALUE(LEFT(H35,FIND("＊",H35&amp;"＊")-1)),H35),運賃マスター!$A$22:$B$40,2,FALSE),_xlpm.d,K35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36" ht="16.5" customHeight="1" s="462">
      <c r="B36" s="47" t="n">
        <v>990</v>
      </c>
      <c r="C36" s="21" t="inlineStr">
        <is>
          <t>山原</t>
        </is>
      </c>
      <c r="D36" s="35" t="n"/>
      <c r="E36" s="35" t="n"/>
      <c r="F36" s="466" t="n"/>
      <c r="H36" s="38" t="n"/>
      <c r="I36" s="38" t="n"/>
      <c r="J36" s="39">
        <f>IF(OR(H36="",K36=""),"",IFERROR(_xlfn.LET(_xlpm.vt,VLOOKUP(IFERROR(VALUE(LEFT(H36,FIND("＊",H36&amp;"＊")-1)),H36),運賃マスター!$A$22:$B$40,2,FALSE),_xlpm.d,K36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37" ht="16.5" customHeight="1" s="462">
      <c r="J37" s="2">
        <f>IF(OR(H37="",K37=""),"",IFERROR(_xlfn.LET(_xlpm.vt,VLOOKUP(IFERROR(VALUE(LEFT(H37,FIND("＊",H37&amp;"＊")-1)),H37),運賃マスター!$A$22:$B$40,2,FALSE),_xlpm.d,K37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38" ht="16.5" customHeight="1" s="462">
      <c r="C38" s="449" t="inlineStr">
        <is>
          <t>出発→到着</t>
        </is>
      </c>
      <c r="D38" s="420" t="inlineStr">
        <is>
          <t>備考</t>
        </is>
      </c>
      <c r="J38" s="2">
        <f>IF(OR(H38="",K38=""),"",IFERROR(_xlfn.LET(_xlpm.vt,VLOOKUP(IFERROR(VALUE(LEFT(H38,FIND("＊",H38&amp;"＊")-1)),H38),運賃マスター!$A$22:$B$40,2,FALSE),_xlpm.d,K38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39" ht="16.5" customHeight="1" s="462">
      <c r="B39" s="27" t="inlineStr">
        <is>
          <t>①</t>
        </is>
      </c>
      <c r="C39" s="449" t="inlineStr">
        <is>
          <t>東→西</t>
        </is>
      </c>
      <c r="D39" s="403" t="inlineStr">
        <is>
          <t>①Aチーム優先</t>
        </is>
      </c>
      <c r="E39" s="486" t="n"/>
      <c r="F39" s="486" t="n"/>
      <c r="G39" s="486" t="n"/>
      <c r="H39" s="486" t="n"/>
      <c r="I39" s="198" t="n"/>
      <c r="J39" s="2">
        <f>IF(OR(H39="",K39=""),"",IFERROR(_xlfn.LET(_xlpm.vt,VLOOKUP(IFERROR(VALUE(LEFT(H39,FIND("＊",H39&amp;"＊")-1)),H39),運賃マスター!$A$22:$B$40,2,FALSE),_xlpm.d,K39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40" ht="16.5" customHeight="1" s="462">
      <c r="B40" s="27" t="inlineStr">
        <is>
          <t>②</t>
        </is>
      </c>
      <c r="C40" s="449" t="inlineStr">
        <is>
          <t>東→東</t>
        </is>
      </c>
      <c r="D40" s="403" t="inlineStr">
        <is>
          <t>②急ぎ案件の場合、道路状況も伝えてあげる。</t>
        </is>
      </c>
      <c r="E40" s="486" t="n"/>
      <c r="F40" s="486" t="n"/>
      <c r="G40" s="486" t="n"/>
      <c r="H40" s="486" t="n"/>
      <c r="I40" s="198" t="n"/>
      <c r="J40" s="2">
        <f>IF(OR(H40="",K40=""),"",IFERROR(_xlfn.LET(_xlpm.vt,VLOOKUP(IFERROR(VALUE(LEFT(H40,FIND("＊",H40&amp;"＊")-1)),H40),運賃マスター!$A$22:$B$40,2,FALSE),_xlpm.d,K40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41">
      <c r="B41" s="27" t="inlineStr">
        <is>
          <t>③</t>
        </is>
      </c>
      <c r="C41" s="449" t="inlineStr">
        <is>
          <t>西→東</t>
        </is>
      </c>
      <c r="D41" s="403" t="inlineStr">
        <is>
          <t>③各ドライバーの位置からの帰社のタイミング・夕方の配置</t>
        </is>
      </c>
      <c r="E41" s="486" t="n"/>
      <c r="F41" s="486" t="n"/>
      <c r="G41" s="486" t="n"/>
      <c r="H41" s="486" t="n"/>
      <c r="I41" s="198" t="n"/>
      <c r="J41" s="2">
        <f>IF(OR(H41="",K41=""),"",IFERROR(_xlfn.LET(_xlpm.vt,VLOOKUP(IFERROR(VALUE(LEFT(H41,FIND("＊",H41&amp;"＊")-1)),H41),運賃マスター!$A$22:$B$40,2,FALSE),_xlpm.d,K41,IF(_xlpm.vt="2t",IF(_xlpm.d&lt;=100,IFERROR(VLOOKUP(_xlpm.d,運賃マスター!$A$5:$B$14,2,TRUE),運賃マスター!$B$5),運賃マスター!$B$17+CEILING((_xlpm.d-100)/10,1)*運賃マスター!$B$16),IF(_xlpm.vt="3t",IF(_xlpm.d&lt;=100,IFERROR(VLOOKUP(_xlpm.d,運賃マスター!$E$5:$F$14,2,TRUE),運賃マスター!$F$5),運賃マスター!$F$17+CEILING((_xlpm.d-100)/10,1)*運賃マスター!$F$16),IF(_xlpm.vt="1t",IF(_xlpm.d&lt;=100,IFERROR(VLOOKUP(_xlpm.d,運賃マスター!$I$5:$J$14,2,TRUE),運賃マスター!$J$5),運賃マスター!$J$17+CEILING((_xlpm.d-100)/10,1)*運賃マスター!$J$16),IF(_xlpm.vt="軽",IF(_xlpm.d&lt;=50,IFERROR(VLOOKUP(_xlpm.d,運賃マスター!$M$5:$N$14,2,TRUE),運賃マスター!$N$5),IF(_xlpm.d&lt;=100,運賃マスター!$N$15+(_xlpm.d-50)*運賃マスター!$N$16,運賃マスター!$N$17+(_xlpm.d-100)*運賃マスター!$N$18)),IF(_xlpm.vt="3tPG",IF(_xlpm.d&lt;=100,IFERROR(VLOOKUP(_xlpm.d,運賃マスター!$Q$5:$R$14,2,TRUE),運賃マスター!$R$5),運賃マスター!$R$17+CEILING((_xlpm.d-100)/10,1)*運賃マスター!$R$16),"")))))),""))</f>
        <v/>
      </c>
    </row>
    <row r="42">
      <c r="B42" s="27" t="inlineStr">
        <is>
          <t>④</t>
        </is>
      </c>
      <c r="C42" s="449" t="inlineStr">
        <is>
          <t>西→西</t>
        </is>
      </c>
      <c r="D42" s="403" t="inlineStr">
        <is>
          <t>④依頼を受ける際の、希望時間と現状の位置。行けるか行けないかの判断をしっかりと。</t>
        </is>
      </c>
      <c r="E42" s="486" t="n"/>
      <c r="F42" s="486" t="n"/>
      <c r="G42" s="486" t="n"/>
      <c r="H42" s="486" t="n"/>
      <c r="I42" s="198" t="n"/>
      <c r="J42" s="2" t="n"/>
    </row>
    <row r="43">
      <c r="D43" s="403" t="inlineStr">
        <is>
          <t>⑤軽に乗るか乗らないかの判断に気を付ける。</t>
        </is>
      </c>
      <c r="E43" s="486" t="n"/>
      <c r="F43" s="486" t="n"/>
      <c r="G43" s="486" t="n"/>
      <c r="H43" s="486" t="n"/>
      <c r="I43" s="198" t="n"/>
      <c r="J43" s="2" t="n"/>
    </row>
    <row r="44">
      <c r="B44" s="22" t="n"/>
      <c r="C44" s="420" t="inlineStr">
        <is>
          <t>現状配置(予測)</t>
        </is>
      </c>
      <c r="D44" s="403" t="inlineStr">
        <is>
          <t>⑥18/1日、1.8/1人、3件/1人</t>
        </is>
      </c>
      <c r="E44" s="486" t="n"/>
      <c r="F44" s="486" t="n"/>
      <c r="G44" s="486" t="n"/>
      <c r="H44" s="486" t="n"/>
      <c r="I44" s="198" t="n"/>
      <c r="J44" s="2" t="n"/>
    </row>
    <row r="45">
      <c r="B45" s="420" t="inlineStr">
        <is>
          <t>西(神戸西・弥栄台)</t>
        </is>
      </c>
      <c r="C45" s="420" t="n"/>
      <c r="D45" s="403" t="inlineStr">
        <is>
          <t>⑦依頼書の見落とし(日付、入替、入出庫、場所）</t>
        </is>
      </c>
      <c r="E45" s="486" t="n"/>
      <c r="F45" s="486" t="n"/>
      <c r="G45" s="486" t="n"/>
      <c r="H45" s="486" t="n"/>
      <c r="I45" s="198" t="n"/>
      <c r="J45" s="2" t="n"/>
    </row>
    <row r="46">
      <c r="B46" s="420" t="inlineStr">
        <is>
          <t>真ん中(摩耶・中央)</t>
        </is>
      </c>
      <c r="C46" s="420" t="n"/>
      <c r="D46" s="403" t="inlineStr">
        <is>
          <t>⑧3ｔ車と2ｔ車への振り方(西と東に振り分ける)</t>
        </is>
      </c>
      <c r="E46" s="486" t="n"/>
      <c r="F46" s="486" t="n"/>
      <c r="G46" s="486" t="n"/>
      <c r="H46" s="486" t="n"/>
      <c r="I46" s="198" t="n"/>
      <c r="J46" s="2" t="n"/>
    </row>
    <row r="47">
      <c r="B47" s="420" t="inlineStr">
        <is>
          <t>東(尼崎・伊丹・西宮)</t>
        </is>
      </c>
      <c r="C47" s="420" t="n"/>
      <c r="D47" s="403" t="inlineStr">
        <is>
          <t>⑨</t>
        </is>
      </c>
      <c r="E47" s="486" t="n"/>
      <c r="F47" s="486" t="n"/>
      <c r="G47" s="486" t="n"/>
      <c r="H47" s="486" t="n"/>
      <c r="I47" s="198" t="n"/>
      <c r="J47" s="2" t="n"/>
    </row>
    <row r="48">
      <c r="B48" s="48" t="inlineStr">
        <is>
          <t>極東(港区・淀屋橋)</t>
        </is>
      </c>
      <c r="C48" s="420" t="n"/>
      <c r="D48" s="49" t="n"/>
      <c r="E48" s="49" t="n"/>
      <c r="F48" s="49" t="n"/>
      <c r="G48" s="49" t="n"/>
      <c r="H48" s="49" t="n"/>
      <c r="I48" s="49" t="n"/>
      <c r="J48" s="2" t="n"/>
    </row>
    <row r="49" ht="14.25" customHeight="1" s="462" thickBot="1">
      <c r="J49" s="2" t="n"/>
    </row>
    <row r="50" ht="17.25" customHeight="1" s="462">
      <c r="C50" s="473" t="inlineStr">
        <is>
          <t>合計額/380</t>
        </is>
      </c>
      <c r="D50" s="358">
        <f>SUM(G50)</f>
        <v/>
      </c>
      <c r="F50" s="360" t="inlineStr">
        <is>
          <t>売り上げ額</t>
        </is>
      </c>
      <c r="G50" s="362">
        <f>SUM(SUM(J4:J16))+SUM('6 1  (2)'!K4:K41)</f>
        <v/>
      </c>
      <c r="H50" s="467" t="n"/>
      <c r="I50" s="199" t="n"/>
      <c r="J50" s="2" t="n"/>
    </row>
    <row r="51" ht="18" customHeight="1" s="462" thickBot="1">
      <c r="C51" s="474" t="n"/>
      <c r="D51" s="475" t="n"/>
      <c r="F51" s="468" t="n"/>
      <c r="G51" s="476" t="n"/>
      <c r="H51" s="469" t="n"/>
      <c r="I51" s="199" t="n"/>
      <c r="J51" s="2" t="n"/>
    </row>
    <row r="52">
      <c r="C52" s="478" t="inlineStr">
        <is>
          <t>前日までの売上合計額</t>
        </is>
      </c>
      <c r="D52" s="479" t="n">
        <v>2437000</v>
      </c>
      <c r="J52" s="2" t="n"/>
    </row>
    <row r="53" ht="14.25" customHeight="1" s="462" thickBot="1">
      <c r="C53" s="480" t="n"/>
      <c r="D53" s="480" t="n"/>
      <c r="F53" s="420" t="inlineStr">
        <is>
          <t>金井（55)</t>
        </is>
      </c>
      <c r="G53" s="345" t="n"/>
      <c r="H53" s="466" t="n"/>
      <c r="I53" s="130" t="n"/>
      <c r="J53" s="2" t="n"/>
    </row>
    <row r="54" ht="14.25" customHeight="1" s="462" thickTop="1">
      <c r="D54" s="346">
        <f>D50+D52</f>
        <v/>
      </c>
      <c r="F54" s="420" t="inlineStr">
        <is>
          <t>粟津(55)</t>
        </is>
      </c>
      <c r="G54" s="340" t="n"/>
      <c r="H54" s="466" t="n"/>
      <c r="I54" s="131" t="n"/>
      <c r="J54" s="2" t="n"/>
    </row>
    <row r="55">
      <c r="F55" s="420" t="inlineStr">
        <is>
          <t>砂川(50)</t>
        </is>
      </c>
      <c r="G55" s="340" t="n"/>
      <c r="H55" s="466" t="n"/>
      <c r="I55" s="131" t="n"/>
      <c r="J55" s="2" t="n"/>
    </row>
    <row r="56">
      <c r="C56" s="2" t="inlineStr">
        <is>
          <t>高代</t>
        </is>
      </c>
      <c r="F56" s="420" t="inlineStr">
        <is>
          <t>前川(50)</t>
        </is>
      </c>
      <c r="G56" s="340" t="n"/>
      <c r="H56" s="466" t="n"/>
      <c r="I56" s="131" t="n"/>
      <c r="J56" s="2" t="n"/>
    </row>
    <row r="57">
      <c r="C57" s="2" t="inlineStr">
        <is>
          <t>返還代</t>
        </is>
      </c>
      <c r="F57" s="420" t="inlineStr">
        <is>
          <t>佐藤(50)</t>
        </is>
      </c>
      <c r="G57" s="345" t="n"/>
      <c r="H57" s="466" t="n"/>
      <c r="I57" s="130" t="n"/>
      <c r="J57" s="2" t="n"/>
    </row>
    <row r="58">
      <c r="C58" s="2" t="inlineStr">
        <is>
          <t>回収率</t>
        </is>
      </c>
      <c r="D58" s="50">
        <f>D57/D56</f>
        <v/>
      </c>
      <c r="F58" s="420" t="inlineStr">
        <is>
          <t>末次(55)</t>
        </is>
      </c>
      <c r="G58" s="340" t="n"/>
      <c r="H58" s="466" t="n"/>
      <c r="I58" s="131" t="n"/>
      <c r="J58" s="2" t="n"/>
    </row>
    <row r="59">
      <c r="C59" s="2" t="inlineStr">
        <is>
          <t>費</t>
        </is>
      </c>
      <c r="D59" s="2">
        <f>D56-D57</f>
        <v/>
      </c>
      <c r="F59" s="420" t="inlineStr">
        <is>
          <t>筒井(75)</t>
        </is>
      </c>
      <c r="G59" s="340" t="n"/>
      <c r="H59" s="466" t="n"/>
      <c r="I59" s="131" t="n"/>
      <c r="J59" s="2" t="n"/>
    </row>
    <row r="60">
      <c r="F60" s="420" t="inlineStr">
        <is>
          <t>山岸(40)</t>
        </is>
      </c>
      <c r="G60" s="340" t="n"/>
      <c r="H60" s="466" t="n"/>
      <c r="I60" s="131" t="n"/>
      <c r="J60" s="2" t="n"/>
    </row>
    <row r="61" ht="17.25" customHeight="1" s="462">
      <c r="B61" s="71" t="n"/>
      <c r="F61" s="420" t="inlineStr">
        <is>
          <t>多苗(30)</t>
        </is>
      </c>
      <c r="G61" s="340" t="n"/>
      <c r="H61" s="466" t="n"/>
      <c r="I61" s="131" t="n"/>
      <c r="J61" s="2" t="n"/>
      <c r="K61" s="2" t="inlineStr">
        <is>
          <t> </t>
        </is>
      </c>
    </row>
    <row r="62">
      <c r="J62" s="2" t="n"/>
    </row>
    <row r="63">
      <c r="J63" s="2" t="n"/>
    </row>
    <row r="65" ht="23.25" customHeight="1" s="462"/>
  </sheetData>
  <mergeCells count="49">
    <mergeCell ref="P4:Q4"/>
    <mergeCell ref="G59:H59"/>
    <mergeCell ref="E24:F24"/>
    <mergeCell ref="E33:F33"/>
    <mergeCell ref="D52:D53"/>
    <mergeCell ref="E23:F23"/>
    <mergeCell ref="H21:H22"/>
    <mergeCell ref="G61:H61"/>
    <mergeCell ref="D46:H46"/>
    <mergeCell ref="C50:C51"/>
    <mergeCell ref="D40:H40"/>
    <mergeCell ref="D45:H45"/>
    <mergeCell ref="E35:F35"/>
    <mergeCell ref="B2:C2"/>
    <mergeCell ref="E20:F20"/>
    <mergeCell ref="J24:J25"/>
    <mergeCell ref="E19:F19"/>
    <mergeCell ref="G50:H51"/>
    <mergeCell ref="G57:H57"/>
    <mergeCell ref="G53:H53"/>
    <mergeCell ref="D41:H41"/>
    <mergeCell ref="P11:Q11"/>
    <mergeCell ref="F50:F51"/>
    <mergeCell ref="H19:H20"/>
    <mergeCell ref="C52:C53"/>
    <mergeCell ref="D47:H47"/>
    <mergeCell ref="D43:H43"/>
    <mergeCell ref="E27:F27"/>
    <mergeCell ref="G58:H58"/>
    <mergeCell ref="E36:F36"/>
    <mergeCell ref="J21:J22"/>
    <mergeCell ref="E26:F26"/>
    <mergeCell ref="H24:H25"/>
    <mergeCell ref="D54:D55"/>
    <mergeCell ref="G55:H55"/>
    <mergeCell ref="D39:H39"/>
    <mergeCell ref="P3:Q3"/>
    <mergeCell ref="E32:F32"/>
    <mergeCell ref="G54:H54"/>
    <mergeCell ref="E25:F25"/>
    <mergeCell ref="D42:H42"/>
    <mergeCell ref="E22:F22"/>
    <mergeCell ref="P5:Q5"/>
    <mergeCell ref="D50:D51"/>
    <mergeCell ref="G60:H60"/>
    <mergeCell ref="J19:J20"/>
    <mergeCell ref="G56:H56"/>
    <mergeCell ref="E21:F21"/>
    <mergeCell ref="D44:H44"/>
  </mergeCells>
  <conditionalFormatting sqref="K3:K16">
    <cfRule type="cellIs" priority="3" operator="greaterThan" dxfId="0">
      <formula>30</formula>
    </cfRule>
  </conditionalFormatting>
  <conditionalFormatting sqref="J21:J22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K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4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3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88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39" sqref="N39"/>
    </sheetView>
  </sheetViews>
  <sheetFormatPr baseColWidth="8" defaultColWidth="8.75" defaultRowHeight="32.25" customHeight="1"/>
  <cols>
    <col width="2.125" customWidth="1" style="1" min="1" max="1"/>
    <col width="16.625" customWidth="1" style="2" min="2" max="2"/>
    <col width="18.875" customWidth="1" style="2" min="3" max="3"/>
    <col width="21.75" customWidth="1" style="2" min="4" max="4"/>
    <col width="19.75" bestFit="1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2"/>
    <col width="20.375" customWidth="1" style="2" min="13" max="13"/>
    <col width="8.75" customWidth="1" style="2" min="14" max="16384"/>
  </cols>
  <sheetData>
    <row r="1"/>
    <row r="2" ht="32.25" customHeight="1" s="462" thickBot="1">
      <c r="B2" s="488" t="n">
        <v>46174</v>
      </c>
      <c r="C2" s="463" t="n"/>
      <c r="D2" s="2" t="inlineStr">
        <is>
          <t>NO.１</t>
        </is>
      </c>
    </row>
    <row r="3" ht="32.2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2" t="inlineStr">
        <is>
          <t>メモ</t>
        </is>
      </c>
      <c r="N3" s="464" t="n"/>
    </row>
    <row r="4" ht="32.25" customHeight="1" s="462">
      <c r="A4" s="423" t="n"/>
      <c r="B4" s="76" t="inlineStr">
        <is>
          <t>山岸：休み</t>
        </is>
      </c>
      <c r="C4" s="51" t="n"/>
      <c r="D4" s="51" t="n"/>
      <c r="E4" s="52" t="n"/>
      <c r="F4" s="52" t="n"/>
      <c r="G4" s="53" t="n"/>
      <c r="H4" s="51" t="n"/>
      <c r="I4" s="256" t="n"/>
      <c r="J4" s="51" t="n"/>
      <c r="K4" s="51" t="n"/>
      <c r="L4" s="55" t="n"/>
      <c r="M4" s="388" t="n"/>
      <c r="N4" s="465" t="n"/>
    </row>
    <row r="5" ht="67.5" customHeight="1" s="462">
      <c r="A5" s="423">
        <f>IF(B5="","",COUNTA($B$5:B5))</f>
        <v/>
      </c>
      <c r="B5" s="57" t="n"/>
      <c r="C5" s="64" t="n"/>
      <c r="D5" s="63" t="n"/>
      <c r="E5" s="441" t="n"/>
      <c r="F5" s="57" t="n"/>
      <c r="G5" s="59" t="n"/>
      <c r="H5" s="260" t="n"/>
      <c r="I5" s="314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</row>
    <row r="6" ht="35.25" customHeight="1" s="462">
      <c r="A6" s="423">
        <f>IF(B6="","",COUNTA($B$5:B6))</f>
        <v/>
      </c>
      <c r="B6" s="57" t="n"/>
      <c r="C6" s="63" t="n"/>
      <c r="D6" s="441" t="n"/>
      <c r="E6" s="259" t="n"/>
      <c r="F6" s="57" t="n"/>
      <c r="G6" s="59" t="n"/>
      <c r="H6" s="260" t="n"/>
      <c r="I6" s="314">
        <f>IFERROR(_xlfn.XLOOKUP(H6,案件・ドライバー一覧!$L$3:$L$17,案件・ドライバー一覧!$M$3:$M$17,""),"")</f>
        <v/>
      </c>
      <c r="J6" s="57" t="n"/>
      <c r="K6" s="72" t="n"/>
      <c r="L6" s="61" t="n"/>
      <c r="M6" s="449" t="n"/>
      <c r="N6" s="449" t="n"/>
    </row>
    <row r="7" ht="32.25" customHeight="1" s="462">
      <c r="A7" s="423">
        <f>IF(B7="","",COUNTA($B$5:B7))</f>
        <v/>
      </c>
      <c r="B7" s="57" t="n"/>
      <c r="C7" s="64" t="n"/>
      <c r="D7" s="63" t="n"/>
      <c r="E7" s="441" t="n"/>
      <c r="F7" s="57" t="n"/>
      <c r="G7" s="59" t="n"/>
      <c r="H7" s="260" t="n"/>
      <c r="I7" s="314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</row>
    <row r="8" ht="27" customHeight="1" s="462">
      <c r="A8" s="423">
        <f>IF(B8="","",COUNTA($B$5:B8))</f>
        <v/>
      </c>
      <c r="B8" s="57" t="n"/>
      <c r="C8" s="441" t="n"/>
      <c r="D8" s="133" t="n"/>
      <c r="E8" s="441" t="n"/>
      <c r="F8" s="57" t="n"/>
      <c r="G8" s="65" t="n"/>
      <c r="H8" s="260" t="n"/>
      <c r="I8" s="314">
        <f>IFERROR(_xlfn.XLOOKUP(H8,案件・ドライバー一覧!$L$3:$L$17,案件・ドライバー一覧!$M$3:$M$17,""),"")</f>
        <v/>
      </c>
      <c r="J8" s="57" t="n"/>
      <c r="K8" s="72" t="n"/>
      <c r="L8" s="61" t="n"/>
      <c r="M8" s="449" t="n"/>
      <c r="N8" s="449" t="n"/>
    </row>
    <row r="9" ht="31.5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260" t="n"/>
      <c r="I9" s="314">
        <f>IFERROR(_xlfn.XLOOKUP(H9,案件・ドライバー一覧!$L$3:$L$17,案件・ドライバー一覧!$M$3:$M$17,""),"")</f>
        <v/>
      </c>
      <c r="J9" s="57" t="n"/>
      <c r="K9" s="73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</row>
    <row r="10" ht="31.5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260" t="n"/>
      <c r="I10" s="314">
        <f>IFERROR(_xlfn.XLOOKUP(H10,案件・ドライバー一覧!$L$3:$L$17,案件・ドライバー一覧!$M$3:$M$17,""),"")</f>
        <v/>
      </c>
      <c r="J10" s="57" t="n"/>
      <c r="K10" s="72" t="n"/>
      <c r="L10" s="61" t="n"/>
      <c r="M10" s="449" t="n"/>
      <c r="N10" s="449" t="n"/>
    </row>
    <row r="11" ht="67.5" customHeight="1" s="462">
      <c r="A11" s="423">
        <f>IF(B11="","",COUNTA($B$5:B11))</f>
        <v/>
      </c>
      <c r="B11" s="441" t="n"/>
      <c r="C11" s="63" t="n"/>
      <c r="D11" s="441" t="n"/>
      <c r="E11" s="441" t="n"/>
      <c r="F11" s="57" t="n"/>
      <c r="G11" s="65" t="n"/>
      <c r="H11" s="260" t="n"/>
      <c r="I11" s="315">
        <f>IFERROR(_xlfn.XLOOKUP(H11,案件・ドライバー一覧!$L$3:$L$17,案件・ドライバー一覧!$M$3:$M$17,""),"")</f>
        <v/>
      </c>
      <c r="J11" s="420" t="n"/>
      <c r="K11" s="72" t="n"/>
      <c r="L11" s="61" t="n"/>
      <c r="M11" s="449" t="n"/>
    </row>
    <row r="12" ht="36" customHeight="1" s="462">
      <c r="A12" s="423">
        <f>IF(B12="","",COUNTA($B$5:B12))</f>
        <v/>
      </c>
      <c r="B12" s="57" t="n"/>
      <c r="C12" s="63" t="n"/>
      <c r="D12" s="441" t="n"/>
      <c r="E12" s="64" t="n"/>
      <c r="F12" s="57" t="n"/>
      <c r="G12" s="65" t="n"/>
      <c r="H12" s="260" t="n"/>
      <c r="I12" s="314">
        <f>IFERROR(_xlfn.XLOOKUP(H12,案件・ドライバー一覧!$L$3:$L$17,案件・ドライバー一覧!$M$3:$M$17,""),"")</f>
        <v/>
      </c>
      <c r="J12" s="57" t="n"/>
      <c r="K12" s="72" t="n"/>
      <c r="L12" s="61" t="n"/>
      <c r="M12" s="449" t="n"/>
      <c r="N12" s="449" t="n"/>
    </row>
    <row r="13" ht="32.25" customHeight="1" s="462">
      <c r="A13" s="423">
        <f>IF(B13="","",COUNTA($B$5:B13))</f>
        <v/>
      </c>
      <c r="B13" s="57" t="n"/>
      <c r="C13" s="441" t="n"/>
      <c r="D13" s="63" t="n"/>
      <c r="E13" s="257" t="n"/>
      <c r="F13" s="57" t="n"/>
      <c r="G13" s="209" t="n"/>
      <c r="H13" s="260" t="n"/>
      <c r="I13" s="314">
        <f>IFERROR(_xlfn.XLOOKUP(H13,案件・ドライバー一覧!$L$3:$L$17,案件・ドライバー一覧!$M$3:$M$17,""),"")</f>
        <v/>
      </c>
      <c r="J13" s="57" t="n"/>
      <c r="K13" s="72" t="n"/>
      <c r="L13" s="61" t="n"/>
      <c r="M13" s="449" t="n"/>
      <c r="N13" s="449" t="n"/>
    </row>
    <row r="14" ht="40.5" customHeight="1" s="462">
      <c r="A14" s="423">
        <f>IF(B14="","",COUNTA($B$5:B14))</f>
        <v/>
      </c>
      <c r="B14" s="57" t="n"/>
      <c r="C14" s="63" t="n"/>
      <c r="D14" s="246" t="n"/>
      <c r="E14" s="441" t="n"/>
      <c r="F14" s="57" t="n"/>
      <c r="G14" s="65" t="n"/>
      <c r="H14" s="260" t="n"/>
      <c r="I14" s="314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</row>
    <row r="15" ht="32.25" customHeight="1" s="462">
      <c r="A15" s="423">
        <f>IF(B15="","",COUNTA($B$5:B15))</f>
        <v/>
      </c>
      <c r="B15" s="441" t="n"/>
      <c r="C15" s="63" t="n"/>
      <c r="D15" s="441" t="n"/>
      <c r="E15" s="441" t="n"/>
      <c r="F15" s="57" t="n"/>
      <c r="G15" s="65" t="n"/>
      <c r="H15" s="260" t="n"/>
      <c r="I15" s="314">
        <f>IFERROR(_xlfn.XLOOKUP(H15,案件・ドライバー一覧!$L$3:$L$17,案件・ドライバー一覧!$M$3:$M$17,""),"")</f>
        <v/>
      </c>
      <c r="J15" s="57" t="n"/>
      <c r="K15" s="72" t="n"/>
      <c r="L15" s="61" t="n"/>
      <c r="M15" s="449" t="n"/>
      <c r="N15" s="449" t="n"/>
    </row>
    <row r="16" ht="32.25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260" t="n"/>
      <c r="I16" s="119" t="n"/>
      <c r="J16" s="57" t="n"/>
      <c r="K16" s="72" t="n"/>
      <c r="L16" s="61" t="n"/>
      <c r="M16" s="449" t="n"/>
      <c r="N16" s="449" t="n"/>
    </row>
    <row r="17" ht="40.5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260" t="n"/>
      <c r="I17" s="119" t="n"/>
      <c r="J17" s="57" t="n"/>
      <c r="K17" s="72" t="n"/>
      <c r="L17" s="61" t="n"/>
      <c r="M17" s="264" t="n"/>
      <c r="N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64" t="n"/>
      <c r="F18" s="57" t="n"/>
      <c r="G18" s="65" t="n"/>
      <c r="H18" s="260" t="n"/>
      <c r="I18" s="119" t="n"/>
      <c r="J18" s="57" t="n"/>
      <c r="K18" s="72" t="n"/>
      <c r="L18" s="61" t="n"/>
      <c r="M18" s="449" t="n"/>
      <c r="N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6" t="n"/>
      <c r="H19" s="260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</row>
    <row r="20" ht="33" customHeight="1" s="462">
      <c r="A20" s="423">
        <f>IF(B20="","",COUNTA($B$5:B20))</f>
        <v/>
      </c>
      <c r="B20" s="57" t="n"/>
      <c r="C20" s="63" t="n"/>
      <c r="D20" s="441" t="n"/>
      <c r="E20" s="441" t="n"/>
      <c r="F20" s="57" t="n"/>
      <c r="G20" s="247" t="n"/>
      <c r="H20" s="260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</row>
    <row r="21" ht="37.5" customHeight="1" s="462">
      <c r="A21" s="423">
        <f>IF(B21="","",COUNTA($B$5:B21))</f>
        <v/>
      </c>
      <c r="B21" s="57" t="n"/>
      <c r="C21" s="63" t="n"/>
      <c r="D21" s="441" t="n"/>
      <c r="E21" s="441" t="n"/>
      <c r="F21" s="57" t="n"/>
      <c r="G21" s="65" t="n"/>
      <c r="H21" s="260" t="n"/>
      <c r="I21" s="267" t="n"/>
      <c r="J21" s="57" t="n"/>
      <c r="K21" s="72" t="n"/>
      <c r="L21" s="61" t="n"/>
      <c r="M21" s="449" t="n"/>
      <c r="N21" s="449" t="n"/>
    </row>
    <row r="22" ht="32.25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65" t="n"/>
      <c r="H22" s="260" t="n"/>
      <c r="I22" s="267" t="n"/>
      <c r="J22" s="57" t="n"/>
      <c r="K22" s="72" t="n"/>
      <c r="L22" s="61" t="n"/>
      <c r="M22" s="449" t="n"/>
      <c r="N22" s="449" t="n"/>
    </row>
    <row r="23" ht="32.25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260" t="n"/>
      <c r="I23" s="267" t="n"/>
      <c r="J23" s="57" t="n"/>
      <c r="K23" s="72" t="n"/>
      <c r="L23" s="61" t="n"/>
      <c r="M23" s="449" t="n"/>
      <c r="N23" s="449" t="n"/>
    </row>
    <row r="24" ht="40.5" customHeight="1" s="462">
      <c r="A24" s="423">
        <f>IF(B24="","",COUNTA($B$5:B24))</f>
        <v/>
      </c>
      <c r="B24" s="441" t="n"/>
      <c r="C24" s="62" t="n"/>
      <c r="D24" s="441" t="n"/>
      <c r="E24" s="441" t="n"/>
      <c r="F24" s="57" t="n"/>
      <c r="G24" s="208" t="n"/>
      <c r="H24" s="260" t="n"/>
      <c r="I24" s="267" t="n"/>
      <c r="J24" s="57" t="n"/>
      <c r="K24" s="72" t="n"/>
      <c r="L24" s="61" t="n"/>
      <c r="M24" s="449" t="n"/>
      <c r="N24" s="449" t="n"/>
    </row>
    <row r="25" ht="32.25" customHeight="1" s="462">
      <c r="A25" s="423">
        <f>IF(B25="","",COUNTA($B$5:B25))</f>
        <v/>
      </c>
      <c r="B25" s="441" t="n"/>
      <c r="C25" s="63" t="n"/>
      <c r="D25" s="441" t="n"/>
      <c r="E25" s="441" t="n"/>
      <c r="F25" s="57" t="n"/>
      <c r="G25" s="65" t="n"/>
      <c r="H25" s="260" t="n"/>
      <c r="I25" s="26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</row>
    <row r="26" ht="39" customHeight="1" s="462">
      <c r="A26" s="423">
        <f>IF(B26="","",COUNTA($B$5:B26))</f>
        <v/>
      </c>
      <c r="B26" s="57" t="n"/>
      <c r="C26" s="441" t="n"/>
      <c r="D26" s="63" t="n"/>
      <c r="E26" s="441" t="n"/>
      <c r="F26" s="57" t="n"/>
      <c r="G26" s="207" t="n"/>
      <c r="H26" s="260" t="n"/>
      <c r="I26" s="26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</row>
    <row r="27" ht="30.75" customHeight="1" s="462">
      <c r="A27" s="423">
        <f>IF(B27="","",COUNTA($B$5:B27))</f>
        <v/>
      </c>
      <c r="B27" s="57" t="n"/>
      <c r="C27" s="441" t="n"/>
      <c r="D27" s="63" t="n"/>
      <c r="E27" s="441" t="n"/>
      <c r="F27" s="57" t="n"/>
      <c r="G27" s="207" t="n"/>
      <c r="H27" s="260" t="n"/>
      <c r="I27" s="267" t="n"/>
      <c r="J27" s="57" t="n"/>
      <c r="K27" s="72" t="n"/>
      <c r="L27" s="61" t="n"/>
      <c r="M27" s="449" t="n"/>
      <c r="N27" s="449" t="n"/>
    </row>
    <row r="28" ht="32.25" customHeight="1" s="462">
      <c r="A28" s="423">
        <f>IF(B28="","",COUNTA($B$5:B28))</f>
        <v/>
      </c>
      <c r="B28" s="441" t="n"/>
      <c r="C28" s="63" t="n"/>
      <c r="D28" s="441" t="n"/>
      <c r="E28" s="441" t="n"/>
      <c r="F28" s="57" t="n"/>
      <c r="G28" s="65" t="n"/>
      <c r="H28" s="260" t="n"/>
      <c r="I28" s="267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</row>
    <row r="29" ht="32.25" customHeight="1" s="462">
      <c r="A29" s="423">
        <f>IF(B29="","",COUNTA($B$5:B29))</f>
        <v/>
      </c>
      <c r="B29" s="441" t="n"/>
      <c r="C29" s="62" t="n"/>
      <c r="D29" s="63" t="n"/>
      <c r="E29" s="441" t="n"/>
      <c r="F29" s="57" t="n"/>
      <c r="G29" s="66" t="n"/>
      <c r="H29" s="260" t="n"/>
      <c r="I29" s="267" t="n"/>
      <c r="J29" s="57" t="n"/>
      <c r="K29" s="73" t="n"/>
      <c r="L29" s="61" t="n"/>
      <c r="M29" s="449" t="n"/>
    </row>
    <row r="30" ht="32.25" customHeight="1" s="462">
      <c r="A30" s="423" t="n"/>
      <c r="B30" s="441" t="n"/>
      <c r="C30" s="62" t="n"/>
      <c r="D30" s="441" t="n"/>
      <c r="E30" s="129" t="n"/>
      <c r="F30" s="57" t="n"/>
      <c r="G30" s="66" t="n"/>
      <c r="H30" s="260" t="n"/>
      <c r="I30" s="267" t="n"/>
      <c r="J30" s="57" t="n"/>
      <c r="K30" s="73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M30" s="449" t="n"/>
      <c r="N30" s="449" t="n"/>
    </row>
    <row r="31" ht="32.25" customHeight="1" s="462">
      <c r="A31" s="423">
        <f>IF(B31="","",COUNTA($B$5:B31))</f>
        <v/>
      </c>
      <c r="B31" s="441" t="n"/>
      <c r="C31" s="63" t="n"/>
      <c r="D31" s="441" t="n"/>
      <c r="E31" s="441" t="n"/>
      <c r="F31" s="57" t="n"/>
      <c r="G31" s="65" t="n"/>
      <c r="H31" s="260" t="n"/>
      <c r="I31" s="268" t="n"/>
      <c r="J31" s="420" t="n"/>
      <c r="K31" s="73" t="n"/>
      <c r="L31" s="61" t="n"/>
      <c r="M31" s="449" t="n"/>
    </row>
    <row r="32" ht="32.25" customHeight="1" s="462">
      <c r="A32" s="423" t="n"/>
      <c r="B32" s="441" t="n"/>
      <c r="C32" s="63" t="n"/>
      <c r="D32" s="441" t="n"/>
      <c r="E32" s="441" t="n"/>
      <c r="F32" s="57" t="n"/>
      <c r="G32" s="65" t="n"/>
      <c r="H32" s="260" t="n"/>
      <c r="I32" s="267" t="n"/>
      <c r="J32" s="57" t="n"/>
      <c r="K32" s="72" t="n"/>
      <c r="L32" s="61" t="n"/>
      <c r="M32" s="449" t="n"/>
      <c r="N32" s="449" t="n"/>
    </row>
    <row r="33" ht="45" customHeight="1" s="462">
      <c r="A33" s="423">
        <f>IF(B33="","",COUNTA($B$5:B33))</f>
        <v/>
      </c>
      <c r="B33" s="441" t="n"/>
      <c r="C33" s="63" t="n"/>
      <c r="D33" s="63" t="n"/>
      <c r="E33" s="441" t="n"/>
      <c r="F33" s="57" t="n"/>
      <c r="G33" s="134" t="n"/>
      <c r="H33" s="260" t="n"/>
      <c r="I33" s="267" t="n"/>
      <c r="J33" s="57" t="n"/>
      <c r="K33" s="72" t="n"/>
      <c r="L33" s="61" t="n"/>
      <c r="M33" s="449" t="n"/>
    </row>
    <row r="34" ht="32.25" customHeight="1" s="462">
      <c r="A34" s="423">
        <f>IF(B34="","",COUNTA($B$5:B34))</f>
        <v/>
      </c>
      <c r="B34" s="441" t="n"/>
      <c r="C34" s="63" t="n"/>
      <c r="D34" s="441" t="n"/>
      <c r="E34" s="441" t="n"/>
      <c r="F34" s="57" t="n"/>
      <c r="G34" s="59" t="n"/>
      <c r="H34" s="260" t="n"/>
      <c r="I34" s="267" t="n"/>
      <c r="J34" s="57" t="n"/>
      <c r="K34" s="72" t="n"/>
      <c r="L34" s="61" t="n"/>
      <c r="M34" s="449" t="n"/>
    </row>
    <row r="35" ht="35.25" customHeight="1" s="462">
      <c r="A35" s="423">
        <f>IF(B35="","",COUNTA($B$5:B35))</f>
        <v/>
      </c>
      <c r="B35" s="441" t="n"/>
      <c r="C35" s="63" t="n"/>
      <c r="D35" s="441" t="n"/>
      <c r="E35" s="441" t="n"/>
      <c r="F35" s="57" t="n"/>
      <c r="G35" s="65" t="n"/>
      <c r="H35" s="260" t="n"/>
      <c r="I35" s="267" t="n"/>
      <c r="J35" s="57" t="n"/>
      <c r="K35" s="73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M35" s="449" t="n"/>
      <c r="N35" s="449" t="n"/>
    </row>
    <row r="36" ht="35.25" customHeight="1" s="462">
      <c r="A36" s="423" t="n"/>
      <c r="B36" s="441" t="n"/>
      <c r="C36" s="63" t="n"/>
      <c r="D36" s="441" t="n"/>
      <c r="E36" s="441" t="n"/>
      <c r="F36" s="57" t="n"/>
      <c r="G36" s="65" t="n"/>
      <c r="H36" s="260" t="n"/>
      <c r="I36" s="267" t="n"/>
      <c r="J36" s="57" t="n"/>
      <c r="K36" s="73" t="n"/>
      <c r="L36" s="61" t="n"/>
      <c r="M36" s="449" t="n"/>
      <c r="N36" s="449" t="n"/>
    </row>
    <row r="37" ht="54" customHeight="1" s="462">
      <c r="A37" s="423">
        <f>IF(B37="","",COUNTA($B$5:B37))</f>
        <v/>
      </c>
      <c r="B37" s="441" t="n"/>
      <c r="C37" s="63" t="n"/>
      <c r="D37" s="441" t="n"/>
      <c r="E37" s="441" t="n"/>
      <c r="F37" s="57" t="n"/>
      <c r="G37" s="59" t="n"/>
      <c r="H37" s="260" t="n"/>
      <c r="I37" s="267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M37" s="449" t="n"/>
      <c r="N37" s="449" t="n"/>
    </row>
    <row r="38" ht="40.5" customHeight="1" s="462">
      <c r="A38" s="423">
        <f>IF(B38="","",COUNTA($B$5:B38))</f>
        <v/>
      </c>
      <c r="B38" s="441" t="n"/>
      <c r="C38" s="63" t="n"/>
      <c r="D38" s="441" t="n"/>
      <c r="E38" s="441" t="n"/>
      <c r="F38" s="57" t="n"/>
      <c r="G38" s="207" t="n"/>
      <c r="H38" s="260" t="n"/>
      <c r="I38" s="267" t="n"/>
      <c r="J38" s="57" t="n"/>
      <c r="K38" s="73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M38" s="449" t="n"/>
      <c r="N38" s="449" t="n"/>
    </row>
    <row r="39" ht="32.25" customHeight="1" s="462">
      <c r="A39" s="423">
        <f>IF(B39="","",COUNTA($B$5:B39))</f>
        <v/>
      </c>
      <c r="B39" s="441" t="n"/>
      <c r="C39" s="63" t="n"/>
      <c r="D39" s="441" t="n"/>
      <c r="E39" s="441" t="n"/>
      <c r="F39" s="57" t="n"/>
      <c r="G39" s="59" t="n"/>
      <c r="H39" s="260" t="n"/>
      <c r="I39" s="267" t="n"/>
      <c r="J39" s="57" t="n"/>
      <c r="K39" s="73" t="n"/>
      <c r="L39" s="61" t="n"/>
      <c r="M39" s="449" t="n"/>
      <c r="N39" s="449" t="n"/>
    </row>
    <row r="40" ht="32.25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260" t="n"/>
      <c r="I40" s="267" t="n"/>
      <c r="J40" s="57" t="n"/>
      <c r="K40" s="73" t="n"/>
      <c r="L40" s="61" t="n"/>
      <c r="M40" s="449" t="n"/>
      <c r="N40" s="449" t="n"/>
    </row>
    <row r="41" ht="32.25" customHeight="1" s="462">
      <c r="A41" s="423">
        <f>IF(B41="","",COUNTA($B$5:B41))</f>
        <v/>
      </c>
      <c r="B41" s="420" t="n"/>
      <c r="C41" s="420" t="n"/>
      <c r="D41" s="420" t="n"/>
      <c r="E41" s="420" t="n"/>
      <c r="F41" s="420" t="n"/>
      <c r="G41" s="69" t="n"/>
      <c r="H41" s="70" t="n"/>
      <c r="I41" s="268" t="n"/>
      <c r="J41" s="420" t="n"/>
      <c r="K41" s="22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M41" s="449" t="n"/>
    </row>
    <row r="42" ht="32.25" customHeight="1" s="462">
      <c r="B42" s="18" t="n"/>
      <c r="C42" s="18" t="n"/>
      <c r="D42" s="18" t="n"/>
      <c r="E42" s="18" t="n"/>
      <c r="F42" s="18" t="n"/>
      <c r="G42" s="19" t="n"/>
      <c r="H42" s="33" t="n"/>
      <c r="I42" s="18" t="n"/>
      <c r="J42" s="18" t="n"/>
      <c r="K42" s="18" t="n"/>
    </row>
    <row r="43" ht="32.25" customHeight="1" s="462" thickBot="1">
      <c r="K43" s="2" t="n"/>
    </row>
    <row r="44" ht="32.25" customHeight="1" s="462">
      <c r="B44" s="22" t="n"/>
      <c r="C44" s="25" t="n"/>
      <c r="D44" s="25" t="inlineStr">
        <is>
          <t>現在待機場所</t>
        </is>
      </c>
      <c r="E44" s="25" t="inlineStr">
        <is>
          <t>待機予定場所</t>
        </is>
      </c>
      <c r="F44" s="466" t="n"/>
      <c r="H44" s="375" t="inlineStr">
        <is>
          <t>目標距離</t>
        </is>
      </c>
      <c r="I44" s="465" t="n"/>
      <c r="J44" s="467" t="n"/>
      <c r="K44" s="377" t="n">
        <v>550</v>
      </c>
    </row>
    <row r="45" ht="32.25" customHeight="1" s="462" thickBot="1">
      <c r="B45" s="26" t="inlineStr">
        <is>
          <t>2(255)</t>
        </is>
      </c>
      <c r="C45" s="21" t="inlineStr">
        <is>
          <t>山岸</t>
        </is>
      </c>
      <c r="D45" s="34" t="n"/>
      <c r="E45" s="34" t="n"/>
      <c r="F45" s="466" t="n"/>
      <c r="H45" s="468" t="n"/>
      <c r="I45" s="477" t="n"/>
      <c r="J45" s="469" t="n"/>
      <c r="K45" s="470" t="n"/>
    </row>
    <row r="46" ht="32.25" customHeight="1" s="462">
      <c r="B46" s="26" t="inlineStr">
        <is>
          <t>8(254)</t>
        </is>
      </c>
      <c r="C46" s="21" t="inlineStr">
        <is>
          <t>砂川</t>
        </is>
      </c>
      <c r="D46" s="35" t="n"/>
      <c r="E46" s="35" t="n"/>
      <c r="F46" s="466" t="n"/>
      <c r="H46" s="368" t="inlineStr">
        <is>
          <t>残距離</t>
        </is>
      </c>
      <c r="J46" s="471" t="n"/>
      <c r="K46" s="354">
        <f>550-SUM(L3:L41)-SUM(#REF!)</f>
        <v/>
      </c>
    </row>
    <row r="47" ht="32.25" customHeight="1" s="462" thickBot="1">
      <c r="B47" s="26" t="inlineStr">
        <is>
          <t>9(256)</t>
        </is>
      </c>
      <c r="C47" s="21" t="inlineStr">
        <is>
          <t>前川</t>
        </is>
      </c>
      <c r="D47" s="35" t="n"/>
      <c r="E47" s="35" t="n"/>
      <c r="F47" s="466" t="n"/>
      <c r="H47" s="468" t="n"/>
      <c r="I47" s="477" t="n"/>
      <c r="J47" s="469" t="n"/>
      <c r="K47" s="472" t="n"/>
    </row>
    <row r="48" ht="32.25" customHeight="1" s="462" thickBot="1">
      <c r="B48" s="26" t="inlineStr">
        <is>
          <t>10(257)</t>
        </is>
      </c>
      <c r="C48" s="35" t="n"/>
      <c r="D48" s="35" t="n"/>
      <c r="E48" s="35" t="n"/>
      <c r="F48" s="466" t="n"/>
      <c r="K48" s="2" t="n"/>
    </row>
    <row r="49" ht="32.25" customHeight="1" s="462">
      <c r="B49" s="26" t="inlineStr">
        <is>
          <t>11(258)</t>
        </is>
      </c>
      <c r="C49" s="21" t="inlineStr">
        <is>
          <t>郡司</t>
        </is>
      </c>
      <c r="D49" s="35" t="n"/>
      <c r="E49" s="35" t="n"/>
      <c r="F49" s="466" t="n"/>
      <c r="H49" s="350" t="inlineStr">
        <is>
          <t>依頼件数</t>
        </is>
      </c>
      <c r="I49" s="465" t="n"/>
      <c r="J49" s="467" t="n"/>
      <c r="K49" s="354">
        <f>SUM(#REF!)+SUM(SUM(#REF!))</f>
        <v/>
      </c>
    </row>
    <row r="50" ht="32.25" customHeight="1" s="462" thickBot="1">
      <c r="B50" s="26" t="inlineStr">
        <is>
          <t>12(736)</t>
        </is>
      </c>
      <c r="C50" s="21" t="n"/>
      <c r="D50" s="35" t="n"/>
      <c r="E50" s="35" t="n"/>
      <c r="F50" s="466" t="n"/>
      <c r="H50" s="468" t="n"/>
      <c r="I50" s="477" t="n"/>
      <c r="J50" s="469" t="n"/>
      <c r="K50" s="472" t="n"/>
    </row>
    <row r="51" ht="32.25" customHeight="1" s="462">
      <c r="B51" s="26" t="inlineStr">
        <is>
          <t>13(737)</t>
        </is>
      </c>
      <c r="C51" s="21" t="n"/>
      <c r="D51" s="35" t="n"/>
      <c r="E51" s="35" t="n"/>
      <c r="F51" s="466" t="n"/>
      <c r="H51" s="38" t="n"/>
      <c r="I51" s="38" t="n"/>
      <c r="J51" s="38" t="n"/>
      <c r="K51" s="39" t="n"/>
    </row>
    <row r="52" ht="32.25" customHeight="1" s="462">
      <c r="B52" s="40" t="inlineStr">
        <is>
          <t>14(738)</t>
        </is>
      </c>
      <c r="C52" s="21" t="inlineStr">
        <is>
          <t>辻井</t>
        </is>
      </c>
      <c r="D52" s="35" t="n"/>
      <c r="E52" s="35" t="n"/>
      <c r="F52" s="466" t="n"/>
      <c r="H52" s="38" t="n"/>
      <c r="I52" s="38" t="n"/>
      <c r="J52" s="38" t="n"/>
      <c r="K52" s="39" t="n"/>
    </row>
    <row r="53" ht="32.25" customHeight="1" s="462">
      <c r="B53" s="41" t="n"/>
      <c r="C53" s="42" t="n"/>
      <c r="D53" s="43" t="n"/>
      <c r="E53" s="44" t="n"/>
      <c r="F53" s="349" t="n"/>
      <c r="H53" s="38" t="n"/>
      <c r="I53" s="38" t="n"/>
      <c r="J53" s="38" t="n"/>
      <c r="K53" s="39" t="n"/>
    </row>
    <row r="54" ht="32.25" customHeight="1" s="462">
      <c r="B54" s="45" t="n">
        <v>7290</v>
      </c>
      <c r="C54" s="21" t="inlineStr">
        <is>
          <t>佐藤</t>
        </is>
      </c>
      <c r="D54" s="35" t="n"/>
      <c r="E54" s="348" t="n"/>
      <c r="F54" s="349" t="n"/>
      <c r="H54" s="38" t="n"/>
      <c r="I54" s="38" t="n"/>
      <c r="J54" s="38" t="n"/>
      <c r="K54" s="39" t="n"/>
    </row>
    <row r="55" ht="32.25" customHeight="1" s="462">
      <c r="B55" s="45" t="n">
        <v>7291</v>
      </c>
      <c r="C55" s="21" t="inlineStr">
        <is>
          <t>末次</t>
        </is>
      </c>
      <c r="D55" s="35" t="n"/>
      <c r="E55" s="348" t="n"/>
      <c r="F55" s="349" t="n"/>
      <c r="H55" s="38" t="n"/>
      <c r="I55" s="38" t="n"/>
      <c r="J55" s="38" t="n"/>
      <c r="K55" s="39" t="n"/>
    </row>
    <row r="56" ht="32.25" customHeight="1" s="462">
      <c r="B56" s="41" t="n"/>
      <c r="C56" s="42" t="n"/>
      <c r="D56" s="44" t="n"/>
      <c r="E56" s="44" t="n"/>
      <c r="F56" s="349" t="n"/>
      <c r="H56" s="38" t="n"/>
      <c r="I56" s="38" t="n"/>
      <c r="J56" s="38" t="n"/>
      <c r="K56" s="39" t="n"/>
    </row>
    <row r="57" ht="32.25" customHeight="1" s="462">
      <c r="B57" s="45" t="n">
        <v>333</v>
      </c>
      <c r="C57" s="21" t="inlineStr">
        <is>
          <t>金井/奥田</t>
        </is>
      </c>
      <c r="D57" s="35" t="n"/>
      <c r="E57" s="484" t="n"/>
      <c r="F57" s="469" t="n"/>
      <c r="H57" s="38" t="n"/>
      <c r="I57" s="38" t="n"/>
      <c r="J57" s="38" t="n"/>
      <c r="K57" s="39" t="n"/>
    </row>
    <row r="58" ht="32.25" customHeight="1" s="462">
      <c r="B58" s="46" t="n">
        <v>666</v>
      </c>
      <c r="C58" s="21" t="inlineStr">
        <is>
          <t>徳留</t>
        </is>
      </c>
      <c r="D58" s="35" t="n"/>
      <c r="E58" s="35" t="n"/>
      <c r="F58" s="466" t="n"/>
      <c r="H58" s="38" t="n"/>
      <c r="I58" s="38" t="n"/>
      <c r="J58" s="38" t="n"/>
      <c r="K58" s="39" t="n"/>
    </row>
    <row r="59" ht="32.25" customHeight="1" s="462">
      <c r="B59" s="46" t="n">
        <v>777</v>
      </c>
      <c r="C59" s="21" t="n"/>
      <c r="D59" s="35" t="n"/>
      <c r="E59" s="348" t="n"/>
      <c r="F59" s="349" t="n"/>
      <c r="H59" s="38" t="n"/>
      <c r="I59" s="38" t="n"/>
      <c r="J59" s="38" t="n"/>
      <c r="K59" s="39" t="n"/>
    </row>
    <row r="60" ht="32.25" customHeight="1" s="462">
      <c r="B60" s="47" t="n">
        <v>330</v>
      </c>
      <c r="C60" s="21" t="n"/>
      <c r="D60" s="35" t="n"/>
      <c r="E60" s="35" t="n"/>
      <c r="F60" s="466" t="n"/>
      <c r="H60" s="38" t="n"/>
      <c r="I60" s="38" t="n"/>
      <c r="J60" s="38" t="n"/>
      <c r="K60" s="39" t="n"/>
    </row>
    <row r="61" ht="32.25" customHeight="1" s="462">
      <c r="B61" s="47" t="n">
        <v>990</v>
      </c>
      <c r="C61" s="21" t="inlineStr">
        <is>
          <t>山原</t>
        </is>
      </c>
      <c r="D61" s="35" t="n"/>
      <c r="E61" s="35" t="n"/>
      <c r="F61" s="466" t="n"/>
      <c r="H61" s="38" t="n"/>
      <c r="I61" s="38" t="n"/>
      <c r="J61" s="38" t="n"/>
      <c r="K61" s="39" t="n"/>
    </row>
    <row r="62" ht="32.25" customHeight="1" s="462">
      <c r="K62" s="2" t="n"/>
    </row>
    <row r="63" ht="32.25" customHeight="1" s="462">
      <c r="C63" s="449" t="inlineStr">
        <is>
          <t>出発→到着</t>
        </is>
      </c>
      <c r="D63" s="420" t="inlineStr">
        <is>
          <t>備考</t>
        </is>
      </c>
      <c r="K63" s="2" t="n"/>
    </row>
    <row r="64" ht="32.25" customHeight="1" s="462">
      <c r="B64" s="27" t="inlineStr">
        <is>
          <t>①</t>
        </is>
      </c>
      <c r="C64" s="449" t="inlineStr">
        <is>
          <t>東→西</t>
        </is>
      </c>
      <c r="D64" s="485" t="inlineStr">
        <is>
          <t>①Aチーム優先</t>
        </is>
      </c>
      <c r="E64" s="486" t="n"/>
      <c r="F64" s="486" t="n"/>
      <c r="G64" s="486" t="n"/>
      <c r="H64" s="486" t="n"/>
      <c r="I64" s="486" t="n"/>
      <c r="J64" s="466" t="n"/>
      <c r="K64" s="2" t="n"/>
    </row>
    <row r="65" ht="32.25" customHeight="1" s="462">
      <c r="B65" s="27" t="inlineStr">
        <is>
          <t>②</t>
        </is>
      </c>
      <c r="C65" s="449" t="inlineStr">
        <is>
          <t>東→東</t>
        </is>
      </c>
      <c r="D65" s="485" t="inlineStr">
        <is>
          <t>②急ぎ案件の場合、道路状況も伝えてあげる。</t>
        </is>
      </c>
      <c r="E65" s="486" t="n"/>
      <c r="F65" s="486" t="n"/>
      <c r="G65" s="486" t="n"/>
      <c r="H65" s="486" t="n"/>
      <c r="I65" s="486" t="n"/>
      <c r="J65" s="466" t="n"/>
      <c r="K65" s="2" t="n"/>
    </row>
    <row r="66" ht="32.25" customHeight="1" s="462">
      <c r="B66" s="27" t="inlineStr">
        <is>
          <t>③</t>
        </is>
      </c>
      <c r="C66" s="449" t="inlineStr">
        <is>
          <t>西→東</t>
        </is>
      </c>
      <c r="D66" s="485" t="inlineStr">
        <is>
          <t>③各ドライバーの位置からの帰社のタイミング・夕方の配置</t>
        </is>
      </c>
      <c r="E66" s="486" t="n"/>
      <c r="F66" s="486" t="n"/>
      <c r="G66" s="486" t="n"/>
      <c r="H66" s="486" t="n"/>
      <c r="I66" s="486" t="n"/>
      <c r="J66" s="466" t="n"/>
      <c r="K66" s="2" t="n"/>
    </row>
    <row r="67" ht="32.25" customHeight="1" s="462">
      <c r="B67" s="27" t="inlineStr">
        <is>
          <t>④</t>
        </is>
      </c>
      <c r="C67" s="449" t="inlineStr">
        <is>
          <t>西→西</t>
        </is>
      </c>
      <c r="D67" s="485" t="inlineStr">
        <is>
          <t>④依頼を受ける際の、希望時間と現状の位置。行けるか行けないかの判断をしっかりと。</t>
        </is>
      </c>
      <c r="E67" s="486" t="n"/>
      <c r="F67" s="486" t="n"/>
      <c r="G67" s="486" t="n"/>
      <c r="H67" s="486" t="n"/>
      <c r="I67" s="486" t="n"/>
      <c r="J67" s="466" t="n"/>
      <c r="K67" s="2" t="n"/>
    </row>
    <row r="68" ht="32.25" customHeight="1" s="462">
      <c r="D68" s="485" t="inlineStr">
        <is>
          <t>⑤軽に乗るか乗らないかの判断に気を付ける。</t>
        </is>
      </c>
      <c r="E68" s="486" t="n"/>
      <c r="F68" s="486" t="n"/>
      <c r="G68" s="486" t="n"/>
      <c r="H68" s="486" t="n"/>
      <c r="I68" s="486" t="n"/>
      <c r="J68" s="466" t="n"/>
      <c r="K68" s="2" t="n"/>
    </row>
    <row r="69" ht="32.25" customHeight="1" s="462">
      <c r="B69" s="22" t="n"/>
      <c r="C69" s="420" t="inlineStr">
        <is>
          <t>現状配置(予測)</t>
        </is>
      </c>
      <c r="D69" s="485" t="inlineStr">
        <is>
          <t>⑥18/1日、1.8/1人、3件/1人</t>
        </is>
      </c>
      <c r="E69" s="486" t="n"/>
      <c r="F69" s="486" t="n"/>
      <c r="G69" s="486" t="n"/>
      <c r="H69" s="486" t="n"/>
      <c r="I69" s="486" t="n"/>
      <c r="J69" s="466" t="n"/>
      <c r="K69" s="2" t="n"/>
    </row>
    <row r="70" ht="32.25" customHeight="1" s="462">
      <c r="B70" s="420" t="inlineStr">
        <is>
          <t>西(神戸西・弥栄台)</t>
        </is>
      </c>
      <c r="C70" s="420" t="n"/>
      <c r="D70" s="485" t="inlineStr">
        <is>
          <t>⑦依頼書の見落とし(日付、入替、入出庫、場所）</t>
        </is>
      </c>
      <c r="E70" s="486" t="n"/>
      <c r="F70" s="486" t="n"/>
      <c r="G70" s="486" t="n"/>
      <c r="H70" s="486" t="n"/>
      <c r="I70" s="486" t="n"/>
      <c r="J70" s="466" t="n"/>
      <c r="K70" s="2" t="n"/>
    </row>
    <row r="71" ht="32.25" customHeight="1" s="462">
      <c r="B71" s="420" t="inlineStr">
        <is>
          <t>真ん中(摩耶・中央)</t>
        </is>
      </c>
      <c r="C71" s="420" t="n"/>
      <c r="D71" s="485" t="inlineStr">
        <is>
          <t>⑧3ｔ車と2ｔ車への振り方(西と東に振り分ける)</t>
        </is>
      </c>
      <c r="E71" s="486" t="n"/>
      <c r="F71" s="486" t="n"/>
      <c r="G71" s="486" t="n"/>
      <c r="H71" s="486" t="n"/>
      <c r="I71" s="486" t="n"/>
      <c r="J71" s="466" t="n"/>
      <c r="K71" s="2" t="n"/>
    </row>
    <row r="72" ht="32.25" customHeight="1" s="462">
      <c r="B72" s="420" t="inlineStr">
        <is>
          <t>東(尼崎・伊丹・西宮)</t>
        </is>
      </c>
      <c r="C72" s="420" t="n"/>
      <c r="D72" s="485" t="inlineStr">
        <is>
          <t>⑨</t>
        </is>
      </c>
      <c r="E72" s="486" t="n"/>
      <c r="F72" s="486" t="n"/>
      <c r="G72" s="486" t="n"/>
      <c r="H72" s="486" t="n"/>
      <c r="I72" s="486" t="n"/>
      <c r="J72" s="466" t="n"/>
      <c r="K72" s="2" t="n"/>
    </row>
    <row r="73" ht="32.25" customHeight="1" s="462">
      <c r="B73" s="48" t="inlineStr">
        <is>
          <t>極東(港区・淀屋橋)</t>
        </is>
      </c>
      <c r="C73" s="420" t="n"/>
      <c r="D73" s="49" t="n"/>
      <c r="E73" s="49" t="n"/>
      <c r="F73" s="49" t="n"/>
      <c r="G73" s="49" t="n"/>
      <c r="H73" s="49" t="n"/>
      <c r="I73" s="49" t="n"/>
      <c r="J73" s="49" t="n"/>
      <c r="K73" s="2" t="n"/>
    </row>
    <row r="74" ht="32.25" customHeight="1" s="462" thickBot="1">
      <c r="K74" s="2" t="n"/>
    </row>
    <row r="75" ht="32.25" customHeight="1" s="462">
      <c r="C75" s="473" t="inlineStr">
        <is>
          <t>合計額/380</t>
        </is>
      </c>
      <c r="D75" s="358">
        <f>SUM(G75)</f>
        <v/>
      </c>
      <c r="F75" s="360" t="inlineStr">
        <is>
          <t>売り上げ額</t>
        </is>
      </c>
      <c r="G75" s="362">
        <f>SUM(SUM(K4:K41))+SUM(#REF!)</f>
        <v/>
      </c>
      <c r="H75" s="465" t="n"/>
      <c r="I75" s="465" t="n"/>
      <c r="J75" s="467" t="n"/>
      <c r="K75" s="2" t="n"/>
    </row>
    <row r="76" ht="32.25" customHeight="1" s="462" thickBot="1">
      <c r="C76" s="474" t="n"/>
      <c r="D76" s="475" t="n"/>
      <c r="F76" s="468" t="n"/>
      <c r="G76" s="476" t="n"/>
      <c r="H76" s="477" t="n"/>
      <c r="I76" s="477" t="n"/>
      <c r="J76" s="469" t="n"/>
      <c r="K76" s="2" t="n"/>
    </row>
    <row r="77" ht="32.25" customHeight="1" s="462">
      <c r="C77" s="478" t="inlineStr">
        <is>
          <t>前日までの売上合計額</t>
        </is>
      </c>
      <c r="D77" s="479">
        <f>SUM(B86)</f>
        <v/>
      </c>
      <c r="K77" s="2" t="n"/>
    </row>
    <row r="78" ht="32.25" customHeight="1" s="462" thickBot="1">
      <c r="C78" s="480" t="n"/>
      <c r="D78" s="480" t="n"/>
      <c r="F78" s="420" t="inlineStr">
        <is>
          <t>金井（55)</t>
        </is>
      </c>
      <c r="G78" s="345" t="n"/>
      <c r="H78" s="466" t="n"/>
      <c r="I78" s="130" t="n"/>
      <c r="K78" s="2" t="n"/>
    </row>
    <row r="79" ht="32.25" customHeight="1" s="462" thickTop="1">
      <c r="D79" s="346">
        <f>D75+D77</f>
        <v/>
      </c>
      <c r="F79" s="420" t="inlineStr">
        <is>
          <t>粟津(55)</t>
        </is>
      </c>
      <c r="G79" s="340" t="n"/>
      <c r="H79" s="466" t="n"/>
      <c r="I79" s="131" t="n"/>
      <c r="K79" s="2" t="n"/>
    </row>
    <row r="80" ht="32.25" customHeight="1" s="462">
      <c r="F80" s="420" t="inlineStr">
        <is>
          <t>砂川(50)</t>
        </is>
      </c>
      <c r="G80" s="340" t="n"/>
      <c r="H80" s="466" t="n"/>
      <c r="I80" s="131" t="n"/>
      <c r="K80" s="2" t="n"/>
    </row>
    <row r="81" ht="32.25" customHeight="1" s="462">
      <c r="C81" s="2" t="inlineStr">
        <is>
          <t>高代</t>
        </is>
      </c>
      <c r="F81" s="420" t="inlineStr">
        <is>
          <t>前川(50)</t>
        </is>
      </c>
      <c r="G81" s="340" t="n"/>
      <c r="H81" s="466" t="n"/>
      <c r="I81" s="131" t="n"/>
      <c r="K81" s="2" t="n"/>
    </row>
    <row r="82" ht="32.25" customHeight="1" s="462">
      <c r="C82" s="2" t="inlineStr">
        <is>
          <t>返還代</t>
        </is>
      </c>
      <c r="F82" s="420" t="inlineStr">
        <is>
          <t>佐藤(50)</t>
        </is>
      </c>
      <c r="G82" s="345" t="n"/>
      <c r="H82" s="466" t="n"/>
      <c r="I82" s="130" t="n"/>
      <c r="K82" s="2" t="n"/>
    </row>
    <row r="83" ht="32.25" customHeight="1" s="462">
      <c r="C83" s="2" t="inlineStr">
        <is>
          <t>回収率</t>
        </is>
      </c>
      <c r="D83" s="50">
        <f>D82/D81</f>
        <v/>
      </c>
      <c r="F83" s="420" t="inlineStr">
        <is>
          <t>末次(55)</t>
        </is>
      </c>
      <c r="G83" s="340" t="n"/>
      <c r="H83" s="466" t="n"/>
      <c r="I83" s="131" t="n"/>
      <c r="K83" s="2" t="n"/>
    </row>
    <row r="84" ht="32.25" customHeight="1" s="462">
      <c r="C84" s="2" t="inlineStr">
        <is>
          <t>費</t>
        </is>
      </c>
      <c r="D84" s="2">
        <f>D81-D82</f>
        <v/>
      </c>
      <c r="F84" s="420" t="inlineStr">
        <is>
          <t>筒井(75)</t>
        </is>
      </c>
      <c r="G84" s="340" t="n"/>
      <c r="H84" s="466" t="n"/>
      <c r="I84" s="131" t="n"/>
      <c r="K84" s="2" t="n"/>
    </row>
    <row r="85" ht="32.25" customHeight="1" s="462">
      <c r="F85" s="420" t="inlineStr">
        <is>
          <t>山岸(40)</t>
        </is>
      </c>
      <c r="G85" s="340" t="n"/>
      <c r="H85" s="466" t="n"/>
      <c r="I85" s="131" t="n"/>
      <c r="K85" s="2" t="n"/>
    </row>
    <row r="86" ht="32.25" customHeight="1" s="462">
      <c r="B86" s="71" t="n"/>
      <c r="F86" s="420" t="inlineStr">
        <is>
          <t>多苗(30)</t>
        </is>
      </c>
      <c r="G86" s="340" t="n"/>
      <c r="H86" s="466" t="n"/>
      <c r="I86" s="131" t="n"/>
      <c r="K86" s="2" t="n"/>
      <c r="L86" s="2" t="inlineStr">
        <is>
          <t> </t>
        </is>
      </c>
    </row>
    <row r="87" ht="32.25" customHeight="1" s="462">
      <c r="K87" s="2" t="n"/>
    </row>
    <row r="88" ht="32.25" customHeight="1" s="462">
      <c r="K88" s="2" t="n"/>
    </row>
  </sheetData>
  <mergeCells count="55">
    <mergeCell ref="D71:J71"/>
    <mergeCell ref="E50:F50"/>
    <mergeCell ref="G81:H81"/>
    <mergeCell ref="M34:N34"/>
    <mergeCell ref="G86:H86"/>
    <mergeCell ref="D68:J68"/>
    <mergeCell ref="M9:N9"/>
    <mergeCell ref="D77:D78"/>
    <mergeCell ref="M5:N5"/>
    <mergeCell ref="E52:F52"/>
    <mergeCell ref="D64:J64"/>
    <mergeCell ref="E48:F48"/>
    <mergeCell ref="D67:J67"/>
    <mergeCell ref="E44:F44"/>
    <mergeCell ref="K44:K45"/>
    <mergeCell ref="G82:H82"/>
    <mergeCell ref="E51:F51"/>
    <mergeCell ref="B2:C2"/>
    <mergeCell ref="C75:C76"/>
    <mergeCell ref="M11:N11"/>
    <mergeCell ref="D75:D76"/>
    <mergeCell ref="F75:F76"/>
    <mergeCell ref="H44:J45"/>
    <mergeCell ref="D69:J69"/>
    <mergeCell ref="K46:K47"/>
    <mergeCell ref="E60:F60"/>
    <mergeCell ref="M31:N31"/>
    <mergeCell ref="G78:H78"/>
    <mergeCell ref="E47:F47"/>
    <mergeCell ref="G83:H83"/>
    <mergeCell ref="H49:J50"/>
    <mergeCell ref="E46:F46"/>
    <mergeCell ref="D65:J65"/>
    <mergeCell ref="E49:F49"/>
    <mergeCell ref="G80:H80"/>
    <mergeCell ref="E45:F45"/>
    <mergeCell ref="M33:N33"/>
    <mergeCell ref="M3:N3"/>
    <mergeCell ref="H46:J47"/>
    <mergeCell ref="M41:N41"/>
    <mergeCell ref="E61:F61"/>
    <mergeCell ref="G79:H79"/>
    <mergeCell ref="E57:F57"/>
    <mergeCell ref="G75:J76"/>
    <mergeCell ref="D79:D80"/>
    <mergeCell ref="D70:J70"/>
    <mergeCell ref="M29:N29"/>
    <mergeCell ref="D66:J66"/>
    <mergeCell ref="G85:H85"/>
    <mergeCell ref="C77:C78"/>
    <mergeCell ref="G84:H84"/>
    <mergeCell ref="D72:J72"/>
    <mergeCell ref="E58:F58"/>
    <mergeCell ref="M4:N4"/>
    <mergeCell ref="K49:K50"/>
  </mergeCells>
  <conditionalFormatting sqref="K46:K47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L3:L41">
    <cfRule type="cellIs" priority="3" operator="greaterThan" dxfId="0">
      <formula>30</formula>
    </cfRule>
  </conditionalFormatting>
  <conditionalFormatting sqref="D5:D49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portrait" paperSize="9" scale="28"/>
</worksheet>
</file>

<file path=xl/worksheets/sheet7.xml><?xml version="1.0" encoding="utf-8"?>
<worksheet xmlns="http://schemas.openxmlformats.org/spreadsheetml/2006/main">
  <sheetPr codeName="Sheet6">
    <tabColor rgb="FF00B0F0"/>
    <outlinePr summaryBelow="1" summaryRight="1"/>
    <pageSetUpPr fitToPage="1"/>
  </sheetPr>
  <dimension ref="A1:R75"/>
  <sheetViews>
    <sheetView topLeftCell="A25" zoomScale="70" zoomScaleNormal="70" workbookViewId="0">
      <selection activeCell="D64" sqref="D64:D65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6384"/>
  </cols>
  <sheetData>
    <row r="1"/>
    <row r="2" ht="15" customHeight="1" s="462" thickBot="1">
      <c r="B2" s="488" t="n">
        <v>46175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4" t="n"/>
      <c r="D13" s="441" t="n"/>
      <c r="E13" s="63" t="n"/>
      <c r="F13" s="441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2" t="n"/>
      <c r="D20" s="63" t="n"/>
      <c r="E20" s="441" t="n"/>
      <c r="F20" s="57" t="n"/>
      <c r="G20" s="66" t="n"/>
      <c r="H20" s="74" t="n"/>
      <c r="I20" s="8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57" t="n"/>
      <c r="G21" s="66" t="n"/>
      <c r="H21" s="74" t="n"/>
      <c r="I21" s="74" t="n"/>
      <c r="J21" s="420" t="n"/>
      <c r="K21" s="73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57" t="n"/>
      <c r="C22" s="420" t="n"/>
      <c r="D22" s="63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57" t="n"/>
      <c r="C23" s="57" t="n"/>
      <c r="D23" s="441" t="n"/>
      <c r="E23" s="441" t="n"/>
      <c r="F23" s="57" t="n"/>
      <c r="G23" s="66" t="n"/>
      <c r="H23" s="74" t="n"/>
      <c r="I23" s="80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17.25" customHeight="1" s="462">
      <c r="A24" s="423">
        <f>IF(B24="","",COUNTA($B$5:B24))</f>
        <v/>
      </c>
      <c r="B24" s="441" t="n"/>
      <c r="C24" s="440" t="n"/>
      <c r="D24" s="441" t="n"/>
      <c r="E24" s="440" t="n"/>
      <c r="F24" s="57" t="n"/>
      <c r="G24" s="65" t="n"/>
      <c r="H24" s="74" t="n"/>
      <c r="I24" s="74" t="n"/>
      <c r="J24" s="420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441" t="n"/>
      <c r="C25" s="63" t="n"/>
      <c r="D25" s="441" t="n"/>
      <c r="E25" s="441" t="n"/>
      <c r="F25" s="57" t="n"/>
      <c r="G25" s="68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441" t="n"/>
      <c r="C26" s="63" t="n"/>
      <c r="D26" s="440" t="n"/>
      <c r="E26" s="441" t="n"/>
      <c r="F26" s="57" t="n"/>
      <c r="G26" s="59" t="n"/>
      <c r="H26" s="60" t="n"/>
      <c r="I26" s="60" t="n"/>
      <c r="J26" s="57" t="n"/>
      <c r="K26" s="73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441" t="n"/>
      <c r="C27" s="63" t="n"/>
      <c r="D27" s="440" t="n"/>
      <c r="E27" s="441" t="n"/>
      <c r="F27" s="57" t="n"/>
      <c r="G27" s="59" t="n"/>
      <c r="H27" s="60" t="n"/>
      <c r="I27" s="60" t="n"/>
      <c r="J27" s="57" t="n"/>
      <c r="K27" s="73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  <c r="R27" s="449" t="n"/>
    </row>
    <row r="28" ht="27.75" customHeight="1" s="462">
      <c r="A28" s="423">
        <f>IF(B28="","",COUNTA($B$5:B28))</f>
        <v/>
      </c>
      <c r="B28" s="420" t="n"/>
      <c r="C28" s="420" t="n"/>
      <c r="D28" s="420" t="n"/>
      <c r="E28" s="420" t="n"/>
      <c r="F28" s="420" t="n"/>
      <c r="G28" s="69" t="n"/>
      <c r="H28" s="70" t="n"/>
      <c r="I28" s="70" t="n"/>
      <c r="J28" s="420" t="n"/>
      <c r="K28" s="2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</row>
    <row r="29" ht="27" customHeight="1" s="462">
      <c r="B29" s="18" t="n"/>
      <c r="C29" s="18" t="n"/>
      <c r="D29" s="18" t="n"/>
      <c r="E29" s="18" t="n"/>
      <c r="F29" s="18" t="n"/>
      <c r="G29" s="19" t="n"/>
      <c r="H29" s="33" t="n"/>
      <c r="I29" s="18" t="n"/>
      <c r="J29" s="18" t="n"/>
      <c r="K29" s="18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0" ht="27" customHeight="1" s="462" thickBot="1">
      <c r="K30" s="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1" ht="27" customHeight="1" s="462">
      <c r="B31" s="22" t="n"/>
      <c r="C31" s="25" t="inlineStr">
        <is>
          <t>ライトベース</t>
        </is>
      </c>
      <c r="D31" s="25" t="inlineStr">
        <is>
          <t>現在待機場所</t>
        </is>
      </c>
      <c r="E31" s="25" t="inlineStr">
        <is>
          <t>待機予定場所</t>
        </is>
      </c>
      <c r="F31" s="466" t="n"/>
      <c r="H31" s="375" t="inlineStr">
        <is>
          <t>目標距離</t>
        </is>
      </c>
      <c r="I31" s="465" t="n"/>
      <c r="J31" s="467" t="n"/>
      <c r="K31" s="377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27" customHeight="1" s="462" thickBot="1">
      <c r="B32" s="26" t="inlineStr">
        <is>
          <t>2(255)</t>
        </is>
      </c>
      <c r="C32" s="25" t="inlineStr">
        <is>
          <t>ライトベース</t>
        </is>
      </c>
      <c r="D32" s="34" t="n"/>
      <c r="E32" s="34" t="n"/>
      <c r="F32" s="466" t="n"/>
      <c r="H32" s="468" t="n"/>
      <c r="I32" s="477" t="n"/>
      <c r="J32" s="469" t="n"/>
      <c r="K32" s="470" t="n"/>
    </row>
    <row r="33">
      <c r="B33" s="26" t="inlineStr">
        <is>
          <t>8(254)</t>
        </is>
      </c>
      <c r="C33" s="21" t="inlineStr">
        <is>
          <t>砂川</t>
        </is>
      </c>
      <c r="D33" s="35" t="n"/>
      <c r="E33" s="35" t="n"/>
      <c r="F33" s="466" t="n"/>
      <c r="H33" s="368" t="inlineStr">
        <is>
          <t>残距離</t>
        </is>
      </c>
      <c r="J33" s="471" t="n"/>
      <c r="K33" s="354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 ht="14.25" customHeight="1" s="462" thickBot="1">
      <c r="B34" s="26" t="inlineStr">
        <is>
          <t>9(256)</t>
        </is>
      </c>
      <c r="C34" s="21" t="inlineStr">
        <is>
          <t>前川</t>
        </is>
      </c>
      <c r="D34" s="35" t="n"/>
      <c r="E34" s="35" t="n"/>
      <c r="F34" s="466" t="n"/>
      <c r="H34" s="468" t="n"/>
      <c r="I34" s="477" t="n"/>
      <c r="J34" s="469" t="n"/>
      <c r="K34" s="472" t="n"/>
    </row>
    <row r="35" ht="14.25" customHeight="1" s="462" thickBot="1">
      <c r="B35" s="26" t="inlineStr">
        <is>
          <t>10(257)</t>
        </is>
      </c>
      <c r="C35" s="35" t="n"/>
      <c r="D35" s="35" t="n"/>
      <c r="E35" s="35" t="n"/>
      <c r="F35" s="466" t="n"/>
      <c r="K35" s="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6">
      <c r="B36" s="26" t="inlineStr">
        <is>
          <t>11(258)</t>
        </is>
      </c>
      <c r="C36" s="21" t="inlineStr">
        <is>
          <t>郡司</t>
        </is>
      </c>
      <c r="D36" s="35" t="n"/>
      <c r="E36" s="35" t="n"/>
      <c r="F36" s="466" t="n"/>
      <c r="H36" s="350" t="inlineStr">
        <is>
          <t>依頼件数</t>
        </is>
      </c>
      <c r="I36" s="465" t="n"/>
      <c r="J36" s="467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4.25" customHeight="1" s="462" thickBot="1">
      <c r="B37" s="26" t="inlineStr">
        <is>
          <t>12(736)</t>
        </is>
      </c>
      <c r="C37" s="21" t="n"/>
      <c r="D37" s="35" t="n"/>
      <c r="E37" s="35" t="n"/>
      <c r="F37" s="466" t="n"/>
      <c r="H37" s="468" t="n"/>
      <c r="I37" s="477" t="n"/>
      <c r="J37" s="469" t="n"/>
      <c r="K37" s="472" t="n"/>
    </row>
    <row r="38" ht="17.25" customHeight="1" s="462">
      <c r="B38" s="26" t="inlineStr">
        <is>
          <t>13(737)</t>
        </is>
      </c>
      <c r="C38" s="21" t="n"/>
      <c r="D38" s="35" t="n"/>
      <c r="E38" s="35" t="n"/>
      <c r="F38" s="466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 ht="17.25" customHeight="1" s="462">
      <c r="B39" s="40" t="inlineStr">
        <is>
          <t>14(738)</t>
        </is>
      </c>
      <c r="C39" s="21" t="inlineStr">
        <is>
          <t>辻井</t>
        </is>
      </c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17.25" customHeight="1" s="462">
      <c r="B40" s="41" t="n"/>
      <c r="C40" s="42" t="n"/>
      <c r="D40" s="43" t="n"/>
      <c r="E40" s="44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1" ht="17.25" customHeight="1" s="462">
      <c r="B41" s="45" t="n">
        <v>7290</v>
      </c>
      <c r="C41" s="21" t="inlineStr">
        <is>
          <t>佐藤</t>
        </is>
      </c>
      <c r="D41" s="35" t="n"/>
      <c r="E41" s="348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2" ht="16.5" customHeight="1" s="462">
      <c r="B42" s="45" t="n">
        <v>7291</v>
      </c>
      <c r="C42" s="21" t="inlineStr">
        <is>
          <t>末次</t>
        </is>
      </c>
      <c r="D42" s="35" t="n"/>
      <c r="E42" s="348" t="n"/>
      <c r="F42" s="34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3" ht="16.5" customHeight="1" s="462">
      <c r="B43" s="41" t="n"/>
      <c r="C43" s="42" t="n"/>
      <c r="D43" s="44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4" ht="8.25" customHeight="1" s="462">
      <c r="B44" s="45" t="n">
        <v>333</v>
      </c>
      <c r="C44" s="21" t="inlineStr">
        <is>
          <t>金井/奥田</t>
        </is>
      </c>
      <c r="D44" s="35" t="n"/>
      <c r="E44" s="484" t="n"/>
      <c r="F44" s="46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5" ht="17.25" customHeight="1" s="462">
      <c r="B45" s="46" t="n">
        <v>666</v>
      </c>
      <c r="C45" s="21" t="inlineStr">
        <is>
          <t>徳留</t>
        </is>
      </c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7.25" customHeight="1" s="462">
      <c r="B46" s="46" t="n">
        <v>777</v>
      </c>
      <c r="C46" s="21" t="n"/>
      <c r="D46" s="35" t="n"/>
      <c r="E46" s="348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 ht="9" customHeight="1" s="462">
      <c r="B47" s="47" t="n">
        <v>330</v>
      </c>
      <c r="C47" s="21" t="n"/>
      <c r="D47" s="35" t="n"/>
      <c r="E47" s="35" t="n"/>
      <c r="F47" s="466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6.5" customHeight="1" s="462">
      <c r="B48" s="47" t="n">
        <v>990</v>
      </c>
      <c r="C48" s="21" t="inlineStr">
        <is>
          <t>山原</t>
        </is>
      </c>
      <c r="D48" s="35" t="n"/>
      <c r="E48" s="35" t="n"/>
      <c r="F48" s="466" t="n"/>
      <c r="H48" s="38" t="n"/>
      <c r="I48" s="38" t="n"/>
      <c r="J48" s="38" t="n"/>
      <c r="K48" s="39" t="n"/>
    </row>
    <row r="49" ht="16.5" customHeight="1" s="462">
      <c r="K49" s="2" t="n"/>
    </row>
    <row r="50" ht="16.5" customHeight="1" s="462">
      <c r="C50" s="449" t="inlineStr">
        <is>
          <t>出発→到着</t>
        </is>
      </c>
      <c r="D50" s="420" t="inlineStr">
        <is>
          <t>備考</t>
        </is>
      </c>
      <c r="K50" s="2" t="n"/>
    </row>
    <row r="51" ht="16.5" customHeight="1" s="462">
      <c r="B51" s="27" t="inlineStr">
        <is>
          <t>①</t>
        </is>
      </c>
      <c r="C51" s="449" t="inlineStr">
        <is>
          <t>東→西</t>
        </is>
      </c>
      <c r="D51" s="485" t="inlineStr">
        <is>
          <t>①Aチーム優先</t>
        </is>
      </c>
      <c r="E51" s="486" t="n"/>
      <c r="F51" s="486" t="n"/>
      <c r="G51" s="486" t="n"/>
      <c r="H51" s="486" t="n"/>
      <c r="I51" s="486" t="n"/>
      <c r="J51" s="466" t="n"/>
      <c r="K51" s="2" t="n"/>
    </row>
    <row r="52" ht="16.5" customHeight="1" s="462">
      <c r="B52" s="27" t="inlineStr">
        <is>
          <t>②</t>
        </is>
      </c>
      <c r="C52" s="449" t="inlineStr">
        <is>
          <t>東→東</t>
        </is>
      </c>
      <c r="D52" s="485" t="inlineStr">
        <is>
          <t>②急ぎ案件の場合、道路状況も伝えてあげる。</t>
        </is>
      </c>
      <c r="E52" s="486" t="n"/>
      <c r="F52" s="486" t="n"/>
      <c r="G52" s="486" t="n"/>
      <c r="H52" s="486" t="n"/>
      <c r="I52" s="486" t="n"/>
      <c r="J52" s="466" t="n"/>
      <c r="K52" s="2" t="n"/>
    </row>
    <row r="53">
      <c r="B53" s="27" t="inlineStr">
        <is>
          <t>③</t>
        </is>
      </c>
      <c r="C53" s="449" t="inlineStr">
        <is>
          <t>西→東</t>
        </is>
      </c>
      <c r="D53" s="485" t="inlineStr">
        <is>
          <t>③各ドライバーの位置からの帰社のタイミング・夕方の配置</t>
        </is>
      </c>
      <c r="E53" s="486" t="n"/>
      <c r="F53" s="486" t="n"/>
      <c r="G53" s="486" t="n"/>
      <c r="H53" s="486" t="n"/>
      <c r="I53" s="486" t="n"/>
      <c r="J53" s="466" t="n"/>
      <c r="K53" s="2" t="n"/>
    </row>
    <row r="54">
      <c r="B54" s="27" t="inlineStr">
        <is>
          <t>④</t>
        </is>
      </c>
      <c r="C54" s="449" t="inlineStr">
        <is>
          <t>西→西</t>
        </is>
      </c>
      <c r="D54" s="485" t="inlineStr">
        <is>
          <t>④依頼を受ける際の、希望時間と現状の位置。行けるか行けないかの判断をしっかりと。</t>
        </is>
      </c>
      <c r="E54" s="486" t="n"/>
      <c r="F54" s="486" t="n"/>
      <c r="G54" s="486" t="n"/>
      <c r="H54" s="486" t="n"/>
      <c r="I54" s="486" t="n"/>
      <c r="J54" s="466" t="n"/>
      <c r="K54" s="2" t="n"/>
    </row>
    <row r="55">
      <c r="D55" s="485" t="inlineStr">
        <is>
          <t>⑤軽に乗るか乗らないかの判断に気を付ける。</t>
        </is>
      </c>
      <c r="E55" s="486" t="n"/>
      <c r="F55" s="486" t="n"/>
      <c r="G55" s="486" t="n"/>
      <c r="H55" s="486" t="n"/>
      <c r="I55" s="486" t="n"/>
      <c r="J55" s="466" t="n"/>
      <c r="K55" s="2" t="n"/>
    </row>
    <row r="56">
      <c r="B56" s="22" t="n"/>
      <c r="C56" s="420" t="inlineStr">
        <is>
          <t>現状配置(予測)</t>
        </is>
      </c>
      <c r="D56" s="485" t="inlineStr">
        <is>
          <t>⑥18/1日、1.8/1人、3件/1人</t>
        </is>
      </c>
      <c r="E56" s="486" t="n"/>
      <c r="F56" s="486" t="n"/>
      <c r="G56" s="486" t="n"/>
      <c r="H56" s="486" t="n"/>
      <c r="I56" s="486" t="n"/>
      <c r="J56" s="466" t="n"/>
      <c r="K56" s="2" t="n"/>
    </row>
    <row r="57">
      <c r="B57" s="420" t="inlineStr">
        <is>
          <t>西(神戸西・弥栄台)</t>
        </is>
      </c>
      <c r="C57" s="420" t="n"/>
      <c r="D57" s="485" t="inlineStr">
        <is>
          <t>⑦依頼書の見落とし(日付、入替、入出庫、場所）</t>
        </is>
      </c>
      <c r="E57" s="486" t="n"/>
      <c r="F57" s="486" t="n"/>
      <c r="G57" s="486" t="n"/>
      <c r="H57" s="486" t="n"/>
      <c r="I57" s="486" t="n"/>
      <c r="J57" s="466" t="n"/>
      <c r="K57" s="2" t="n"/>
    </row>
    <row r="58">
      <c r="B58" s="420" t="inlineStr">
        <is>
          <t>真ん中(摩耶・中央)</t>
        </is>
      </c>
      <c r="C58" s="420" t="n"/>
      <c r="D58" s="485" t="inlineStr">
        <is>
          <t>⑧3ｔ車と2ｔ車への振り方(西と東に振り分ける)</t>
        </is>
      </c>
      <c r="E58" s="486" t="n"/>
      <c r="F58" s="486" t="n"/>
      <c r="G58" s="486" t="n"/>
      <c r="H58" s="486" t="n"/>
      <c r="I58" s="486" t="n"/>
      <c r="J58" s="466" t="n"/>
      <c r="K58" s="2" t="n"/>
    </row>
    <row r="59">
      <c r="B59" s="420" t="inlineStr">
        <is>
          <t>東(尼崎・伊丹・西宮)</t>
        </is>
      </c>
      <c r="C59" s="420" t="n"/>
      <c r="D59" s="485" t="inlineStr">
        <is>
          <t>⑨</t>
        </is>
      </c>
      <c r="E59" s="486" t="n"/>
      <c r="F59" s="486" t="n"/>
      <c r="G59" s="486" t="n"/>
      <c r="H59" s="486" t="n"/>
      <c r="I59" s="486" t="n"/>
      <c r="J59" s="466" t="n"/>
      <c r="K59" s="2" t="n"/>
    </row>
    <row r="60">
      <c r="B60" s="48" t="inlineStr">
        <is>
          <t>極東(港区・淀屋橋)</t>
        </is>
      </c>
      <c r="C60" s="420" t="n"/>
      <c r="D60" s="49" t="n"/>
      <c r="E60" s="49" t="n"/>
      <c r="F60" s="49" t="n"/>
      <c r="G60" s="49" t="n"/>
      <c r="H60" s="49" t="n"/>
      <c r="I60" s="49" t="n"/>
      <c r="J60" s="49" t="n"/>
      <c r="K60" s="2" t="n"/>
    </row>
    <row r="61" ht="14.25" customHeight="1" s="462" thickBot="1">
      <c r="K61" s="2" t="n"/>
    </row>
    <row r="62">
      <c r="C62" s="473" t="inlineStr">
        <is>
          <t>合計額/380</t>
        </is>
      </c>
      <c r="D62" s="358">
        <f>SUM(G62)</f>
        <v/>
      </c>
      <c r="F62" s="360" t="inlineStr">
        <is>
          <t>売り上げ額</t>
        </is>
      </c>
      <c r="G62" s="362">
        <f>SUM('6　2 (2)'!K4:K18)</f>
        <v/>
      </c>
      <c r="H62" s="465" t="n"/>
      <c r="I62" s="465" t="n"/>
      <c r="J62" s="467" t="n"/>
      <c r="K62" s="2" t="n"/>
    </row>
    <row r="63" ht="14.25" customHeight="1" s="462" thickBot="1">
      <c r="C63" s="474" t="n"/>
      <c r="D63" s="475" t="n"/>
      <c r="F63" s="468" t="n"/>
      <c r="G63" s="476" t="n"/>
      <c r="H63" s="477" t="n"/>
      <c r="I63" s="477" t="n"/>
      <c r="J63" s="469" t="n"/>
      <c r="K63" s="2" t="n"/>
    </row>
    <row r="64">
      <c r="C64" s="478" t="inlineStr">
        <is>
          <t>前日までの売上合計額</t>
        </is>
      </c>
      <c r="D64" s="479">
        <f>SUM('6 1 '!D54:D55)</f>
        <v/>
      </c>
      <c r="K64" s="2" t="n"/>
    </row>
    <row r="65" ht="14.25" customHeight="1" s="462" thickBot="1">
      <c r="C65" s="480" t="n"/>
      <c r="D65" s="480" t="n"/>
      <c r="F65" s="420" t="inlineStr">
        <is>
          <t>金井（55)</t>
        </is>
      </c>
      <c r="G65" s="345" t="n"/>
      <c r="H65" s="466" t="n"/>
      <c r="I65" s="130" t="n"/>
      <c r="K65" s="2" t="n"/>
    </row>
    <row r="66" ht="14.25" customHeight="1" s="462" thickTop="1">
      <c r="D66" s="346">
        <f>D62+D64</f>
        <v/>
      </c>
      <c r="F66" s="420" t="inlineStr">
        <is>
          <t>粟津(55)</t>
        </is>
      </c>
      <c r="G66" s="340" t="n"/>
      <c r="H66" s="466" t="n"/>
      <c r="I66" s="131" t="n"/>
      <c r="K66" s="2" t="n"/>
    </row>
    <row r="67">
      <c r="F67" s="420" t="inlineStr">
        <is>
          <t>砂川(50)</t>
        </is>
      </c>
      <c r="G67" s="340" t="n"/>
      <c r="H67" s="466" t="n"/>
      <c r="I67" s="131" t="n"/>
      <c r="K67" s="2" t="n"/>
    </row>
    <row r="68">
      <c r="C68" s="2" t="inlineStr">
        <is>
          <t>高代</t>
        </is>
      </c>
      <c r="F68" s="420" t="inlineStr">
        <is>
          <t>前川(50)</t>
        </is>
      </c>
      <c r="G68" s="340" t="n"/>
      <c r="H68" s="466" t="n"/>
      <c r="I68" s="131" t="n"/>
      <c r="K68" s="2" t="n"/>
    </row>
    <row r="69">
      <c r="C69" s="2" t="inlineStr">
        <is>
          <t>返還代</t>
        </is>
      </c>
      <c r="F69" s="420" t="inlineStr">
        <is>
          <t>佐藤(50)</t>
        </is>
      </c>
      <c r="G69" s="345" t="n"/>
      <c r="H69" s="466" t="n"/>
      <c r="I69" s="130" t="n"/>
      <c r="K69" s="2" t="n"/>
    </row>
    <row r="70">
      <c r="C70" s="2" t="inlineStr">
        <is>
          <t>回収率</t>
        </is>
      </c>
      <c r="D70" s="50">
        <f>D69/D68</f>
        <v/>
      </c>
      <c r="F70" s="420" t="inlineStr">
        <is>
          <t>末次(55)</t>
        </is>
      </c>
      <c r="G70" s="340" t="n"/>
      <c r="H70" s="466" t="n"/>
      <c r="I70" s="131" t="n"/>
      <c r="K70" s="2" t="n"/>
    </row>
    <row r="71">
      <c r="C71" s="2" t="inlineStr">
        <is>
          <t>費</t>
        </is>
      </c>
      <c r="D71" s="2">
        <f>D68-D69</f>
        <v/>
      </c>
      <c r="F71" s="420" t="inlineStr">
        <is>
          <t>筒井(75)</t>
        </is>
      </c>
      <c r="G71" s="340" t="n"/>
      <c r="H71" s="466" t="n"/>
      <c r="I71" s="131" t="n"/>
      <c r="K71" s="2" t="n"/>
    </row>
    <row r="72">
      <c r="F72" s="420" t="inlineStr">
        <is>
          <t>山岸(40)</t>
        </is>
      </c>
      <c r="G72" s="340" t="n"/>
      <c r="H72" s="466" t="n"/>
      <c r="I72" s="131" t="n"/>
      <c r="K72" s="2" t="n"/>
    </row>
    <row r="73" ht="17.25" customHeight="1" s="462">
      <c r="B73" s="71" t="n"/>
      <c r="F73" s="420" t="inlineStr">
        <is>
          <t>多苗(30)</t>
        </is>
      </c>
      <c r="G73" s="340" t="n"/>
      <c r="H73" s="466" t="n"/>
      <c r="I73" s="131" t="n"/>
      <c r="K73" s="2" t="n"/>
      <c r="L73" s="2" t="inlineStr">
        <is>
          <t> </t>
        </is>
      </c>
    </row>
    <row r="74">
      <c r="K74" s="2" t="n"/>
    </row>
    <row r="75">
      <c r="K75" s="2" t="n"/>
    </row>
    <row r="77" ht="23.25" customHeight="1" s="462"/>
  </sheetData>
  <mergeCells count="55">
    <mergeCell ref="K36:K37"/>
    <mergeCell ref="Q25:R25"/>
    <mergeCell ref="D56:J56"/>
    <mergeCell ref="Q3:R3"/>
    <mergeCell ref="Q21:R21"/>
    <mergeCell ref="K33:K34"/>
    <mergeCell ref="D58:J58"/>
    <mergeCell ref="E33:F33"/>
    <mergeCell ref="Q28:R28"/>
    <mergeCell ref="G71:H71"/>
    <mergeCell ref="Q24:R24"/>
    <mergeCell ref="G67:H67"/>
    <mergeCell ref="D55:J55"/>
    <mergeCell ref="E48:F48"/>
    <mergeCell ref="G70:H70"/>
    <mergeCell ref="E39:F39"/>
    <mergeCell ref="H33:J34"/>
    <mergeCell ref="D51:J51"/>
    <mergeCell ref="E44:F44"/>
    <mergeCell ref="E35:F35"/>
    <mergeCell ref="B2:C2"/>
    <mergeCell ref="D54:J54"/>
    <mergeCell ref="E38:F38"/>
    <mergeCell ref="G62:J63"/>
    <mergeCell ref="D66:D67"/>
    <mergeCell ref="D59:J59"/>
    <mergeCell ref="Q5:R5"/>
    <mergeCell ref="Q20:R20"/>
    <mergeCell ref="Q23:R23"/>
    <mergeCell ref="G66:H66"/>
    <mergeCell ref="K31:K32"/>
    <mergeCell ref="G69:H69"/>
    <mergeCell ref="E31:F31"/>
    <mergeCell ref="Q4:R4"/>
    <mergeCell ref="D62:D63"/>
    <mergeCell ref="E34:F34"/>
    <mergeCell ref="F62:F63"/>
    <mergeCell ref="H31:J32"/>
    <mergeCell ref="G68:H68"/>
    <mergeCell ref="D52:J52"/>
    <mergeCell ref="E45:F45"/>
    <mergeCell ref="D64:D65"/>
    <mergeCell ref="Q22:R22"/>
    <mergeCell ref="E36:F36"/>
    <mergeCell ref="G65:H65"/>
    <mergeCell ref="D57:J57"/>
    <mergeCell ref="H36:J37"/>
    <mergeCell ref="C62:C63"/>
    <mergeCell ref="G73:H73"/>
    <mergeCell ref="E32:F32"/>
    <mergeCell ref="D53:J53"/>
    <mergeCell ref="E37:F37"/>
    <mergeCell ref="C64:C65"/>
    <mergeCell ref="E47:F47"/>
    <mergeCell ref="G72:H72"/>
  </mergeCells>
  <conditionalFormatting sqref="K33:K3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L3:L4">
    <cfRule type="cellIs" priority="3" operator="greaterThan" dxfId="0">
      <formula>30</formula>
    </cfRule>
  </conditionalFormatting>
  <conditionalFormatting sqref="D5:D36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27"/>
</worksheet>
</file>

<file path=xl/worksheets/sheet8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N65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9" sqref="K9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2"/>
    <col width="18" customWidth="1" style="2" min="13" max="13"/>
    <col width="10.125" customWidth="1" style="2" min="14" max="14"/>
    <col width="8.75" customWidth="1" style="2" min="15" max="16384"/>
  </cols>
  <sheetData>
    <row r="1"/>
    <row r="2" ht="15" customHeight="1" s="462" thickBot="1">
      <c r="B2" s="488" t="n">
        <v>46175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2" t="inlineStr">
        <is>
          <t>メモ</t>
        </is>
      </c>
      <c r="N3" s="464" t="n"/>
    </row>
    <row r="4" ht="27" customHeight="1" s="462">
      <c r="A4" s="423" t="n"/>
      <c r="B4" s="76" t="inlineStr">
        <is>
          <t>山岸：休み</t>
        </is>
      </c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260" t="n"/>
      <c r="I5" s="314">
        <f>IFERROR(_xlfn.XLOOKUP(H5,案件・ドライバー一覧!$L$3:$L$17,案件・ドライバー一覧!$M$3:$M$17,""),"")</f>
        <v/>
      </c>
      <c r="J5" s="57" t="n"/>
      <c r="K5" s="72" t="n"/>
      <c r="L5" s="61" t="n"/>
      <c r="M5" s="449" t="n"/>
    </row>
    <row r="6" ht="27" customHeight="1" s="462">
      <c r="A6" s="423">
        <f>IF(B6="","",COUNTA($B$5:B6))</f>
        <v/>
      </c>
      <c r="B6" s="57" t="n"/>
      <c r="C6" s="441" t="n"/>
      <c r="D6" s="441" t="n"/>
      <c r="E6" s="441" t="n"/>
      <c r="F6" s="57" t="n"/>
      <c r="G6" s="65" t="n"/>
      <c r="H6" s="260" t="n"/>
      <c r="I6" s="314">
        <f>IFERROR(_xlfn.XLOOKUP(H6,案件・ドライバー一覧!$L$3:$L$17,案件・ドライバー一覧!$M$3:$M$17,""),"")</f>
        <v/>
      </c>
      <c r="J6" s="57" t="n"/>
      <c r="K6" s="72" t="n"/>
      <c r="L6" s="61" t="n"/>
      <c r="M6" s="449" t="n"/>
      <c r="N6" s="449" t="n"/>
    </row>
    <row r="7" ht="27.75" customHeight="1" s="462">
      <c r="A7" s="423">
        <f>IF(B7="","",COUNTA($B$5:B14))</f>
        <v/>
      </c>
      <c r="B7" s="441" t="n"/>
      <c r="C7" s="440" t="n"/>
      <c r="D7" s="441" t="n"/>
      <c r="E7" s="249" t="n"/>
      <c r="F7" s="57" t="n"/>
      <c r="G7" s="65" t="n"/>
      <c r="H7" s="260" t="n"/>
      <c r="I7" s="296">
        <f>IFERROR(_xlfn.XLOOKUP(H7,案件・ドライバー一覧!$L$3:$L$17,案件・ドライバー一覧!$M$3:$M$17,""),"")</f>
        <v/>
      </c>
      <c r="J7" s="420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13" t="n"/>
    </row>
    <row r="8" ht="27.75" customHeight="1" s="462">
      <c r="A8" s="423">
        <f>IF(B8="","",COUNTA($B$5:B14))</f>
        <v/>
      </c>
      <c r="B8" s="441" t="n"/>
      <c r="C8" s="440" t="n"/>
      <c r="D8" s="441" t="n"/>
      <c r="E8" s="249" t="n"/>
      <c r="F8" s="57" t="n"/>
      <c r="G8" s="65" t="n"/>
      <c r="H8" s="260" t="n"/>
      <c r="I8" s="314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277" t="n"/>
      <c r="N8" s="449" t="n"/>
    </row>
    <row r="9" ht="27.75" customHeight="1" s="462">
      <c r="A9" s="423">
        <f>IF(B9="","",COUNTA($B$5:B14))</f>
        <v/>
      </c>
      <c r="B9" s="441" t="n"/>
      <c r="C9" s="441" t="n"/>
      <c r="D9" s="441" t="n"/>
      <c r="E9" s="440" t="n"/>
      <c r="F9" s="57" t="n"/>
      <c r="G9" s="247" t="n"/>
      <c r="H9" s="260" t="n"/>
      <c r="I9" s="314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</row>
    <row r="10" ht="27" customHeight="1" s="462">
      <c r="A10" s="423">
        <f>IF(B10="","",COUNTA($B$5:B10))</f>
        <v/>
      </c>
      <c r="B10" s="57" t="n"/>
      <c r="C10" s="64" t="n"/>
      <c r="D10" s="63" t="n"/>
      <c r="E10" s="441" t="n"/>
      <c r="F10" s="57" t="n"/>
      <c r="G10" s="59" t="n"/>
      <c r="H10" s="260" t="n"/>
      <c r="I10" s="314">
        <f>IFERROR(_xlfn.XLOOKUP(H10,案件・ドライバー一覧!$L$3:$L$17,案件・ドライバー一覧!$M$3:$M$17,""),"")</f>
        <v/>
      </c>
      <c r="J10" s="57" t="n"/>
      <c r="K10" s="72" t="n"/>
      <c r="L10" s="61" t="n"/>
      <c r="M10" s="449" t="n"/>
      <c r="N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260" t="n"/>
      <c r="I11" s="314">
        <f>IFERROR(_xlfn.XLOOKUP(H11,案件・ドライバー一覧!$L$3:$L$17,案件・ドライバー一覧!$M$3:$M$17,""),"")</f>
        <v/>
      </c>
      <c r="J11" s="57" t="n"/>
      <c r="K11" s="72" t="n"/>
      <c r="L11" s="61" t="n"/>
      <c r="M11" s="449" t="n"/>
      <c r="N11" s="449" t="n"/>
    </row>
    <row r="12" ht="27" customHeight="1" s="462">
      <c r="A12" s="423">
        <f>IF(B12="","",COUNTA($B$5:B14))</f>
        <v/>
      </c>
      <c r="B12" s="441" t="n"/>
      <c r="C12" s="63" t="n"/>
      <c r="D12" s="440" t="n"/>
      <c r="E12" s="441" t="n"/>
      <c r="F12" s="57" t="n"/>
      <c r="G12" s="65" t="n"/>
      <c r="H12" s="260" t="n"/>
      <c r="I12" s="314">
        <f>IFERROR(_xlfn.XLOOKUP(H12,案件・ドライバー一覧!$L$3:$L$17,案件・ドライバー一覧!$M$3:$M$17,""),"")</f>
        <v/>
      </c>
      <c r="J12" s="57" t="n"/>
      <c r="K12" s="73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</row>
    <row r="13" ht="27" customHeight="1" s="462">
      <c r="A13" s="423">
        <f>IF(B13="","",COUNTA($B$5:B13))</f>
        <v/>
      </c>
      <c r="B13" s="441" t="n"/>
      <c r="C13" s="63" t="n"/>
      <c r="D13" s="250" t="n"/>
      <c r="E13" s="441" t="n"/>
      <c r="F13" s="57" t="n"/>
      <c r="G13" s="65" t="n"/>
      <c r="H13" s="260" t="n"/>
      <c r="I13" s="314">
        <f>IFERROR(_xlfn.XLOOKUP(H13,案件・ドライバー一覧!$L$3:$L$17,案件・ドライバー一覧!$M$3:$M$17,""),"")</f>
        <v/>
      </c>
      <c r="J13" s="57" t="n"/>
      <c r="K13" s="72" t="n"/>
      <c r="L13" s="61" t="n"/>
      <c r="M13" s="449" t="n"/>
      <c r="N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260" t="n"/>
      <c r="I14" s="314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</row>
    <row r="15" ht="27" customHeight="1" s="462">
      <c r="A15" s="423">
        <f>IF(B15="","",COUNTA($B$5:B15))</f>
        <v/>
      </c>
      <c r="B15" s="441" t="n"/>
      <c r="C15" s="63" t="n"/>
      <c r="D15" s="440" t="n"/>
      <c r="E15" s="441" t="n"/>
      <c r="F15" s="57" t="n"/>
      <c r="G15" s="59" t="n"/>
      <c r="H15" s="438" t="n"/>
      <c r="I15" s="295">
        <f>IFERROR(_xlfn.XLOOKUP(H15,案件・ドライバー一覧!$L$3:$L$17,案件・ドライバー一覧!$M$3:$M$17,""),"")</f>
        <v/>
      </c>
      <c r="J15" s="57" t="n"/>
      <c r="K15" s="73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</row>
    <row r="16" ht="27" customHeight="1" s="462">
      <c r="A16" s="423">
        <f>IF(B16="","",COUNTA($B$5:B16))</f>
        <v/>
      </c>
      <c r="B16" s="441" t="n"/>
      <c r="C16" s="63" t="n"/>
      <c r="D16" s="440" t="n"/>
      <c r="E16" s="441" t="n"/>
      <c r="F16" s="57" t="n"/>
      <c r="G16" s="59" t="n"/>
      <c r="H16" s="438" t="n"/>
      <c r="I16" s="427" t="n"/>
      <c r="J16" s="57" t="n"/>
      <c r="K16" s="73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</row>
    <row r="17" ht="27" customHeight="1" s="462">
      <c r="A17" s="423">
        <f>IF(B17="","",COUNTA($B$5:B17))</f>
        <v/>
      </c>
      <c r="B17" s="441" t="n"/>
      <c r="C17" s="63" t="n"/>
      <c r="D17" s="440" t="n"/>
      <c r="E17" s="441" t="n"/>
      <c r="F17" s="57" t="n"/>
      <c r="G17" s="59" t="n"/>
      <c r="H17" s="438" t="n"/>
      <c r="I17" s="427" t="n"/>
      <c r="J17" s="57" t="n"/>
      <c r="K17" s="73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</row>
    <row r="18" ht="27" customHeight="1" s="462">
      <c r="A18" s="423">
        <f>IF(B18="","",COUNTA($B$5:B18))</f>
        <v/>
      </c>
      <c r="B18" s="420" t="n"/>
      <c r="C18" s="420" t="n"/>
      <c r="D18" s="420" t="n"/>
      <c r="E18" s="420" t="n"/>
      <c r="F18" s="420" t="n"/>
      <c r="G18" s="69" t="n"/>
      <c r="H18" s="70" t="n"/>
      <c r="I18" s="70" t="n"/>
      <c r="J18" s="420" t="n"/>
      <c r="K18" s="2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</row>
    <row r="19">
      <c r="B19" s="18" t="n"/>
      <c r="C19" s="18" t="n"/>
      <c r="D19" s="18" t="n"/>
      <c r="E19" s="18" t="n"/>
      <c r="F19" s="18" t="n"/>
      <c r="G19" s="19" t="n"/>
      <c r="H19" s="33" t="n"/>
      <c r="I19" s="18" t="n"/>
      <c r="J19" s="18" t="n"/>
      <c r="K19" s="18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0" ht="14.25" customHeight="1" s="462" thickBot="1">
      <c r="K20" s="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1">
      <c r="B21" s="22" t="n"/>
      <c r="C21" s="25" t="n"/>
      <c r="D21" s="25" t="inlineStr">
        <is>
          <t>現在待機場所</t>
        </is>
      </c>
      <c r="E21" s="25" t="inlineStr">
        <is>
          <t>待機予定場所</t>
        </is>
      </c>
      <c r="F21" s="466" t="n"/>
      <c r="H21" s="375" t="inlineStr">
        <is>
          <t>目標距離</t>
        </is>
      </c>
      <c r="I21" s="465" t="n"/>
      <c r="J21" s="467" t="n"/>
      <c r="K21" s="377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2" ht="14.25" customHeight="1" s="462" thickBot="1">
      <c r="B22" s="26" t="inlineStr">
        <is>
          <t>2(255)</t>
        </is>
      </c>
      <c r="C22" s="21" t="inlineStr">
        <is>
          <t>山岸</t>
        </is>
      </c>
      <c r="D22" s="34" t="n"/>
      <c r="E22" s="34" t="n"/>
      <c r="F22" s="466" t="n"/>
      <c r="H22" s="468" t="n"/>
      <c r="I22" s="477" t="n"/>
      <c r="J22" s="469" t="n"/>
      <c r="K22" s="470" t="n"/>
    </row>
    <row r="23">
      <c r="B23" s="26" t="inlineStr">
        <is>
          <t>8(254)</t>
        </is>
      </c>
      <c r="C23" s="21" t="inlineStr">
        <is>
          <t>砂川</t>
        </is>
      </c>
      <c r="D23" s="35" t="n"/>
      <c r="E23" s="35" t="n"/>
      <c r="F23" s="466" t="n"/>
      <c r="H23" s="368" t="inlineStr">
        <is>
          <t>残距離</t>
        </is>
      </c>
      <c r="J23" s="471" t="n"/>
      <c r="K23" s="354">
        <f>550-SUM(L3:L18)-SUM(#REF!)</f>
        <v/>
      </c>
    </row>
    <row r="24" ht="14.25" customHeight="1" s="462" thickBot="1">
      <c r="B24" s="26" t="inlineStr">
        <is>
          <t>9(256)</t>
        </is>
      </c>
      <c r="C24" s="21" t="inlineStr">
        <is>
          <t>前川</t>
        </is>
      </c>
      <c r="D24" s="35" t="n"/>
      <c r="E24" s="35" t="n"/>
      <c r="F24" s="466" t="n"/>
      <c r="H24" s="468" t="n"/>
      <c r="I24" s="477" t="n"/>
      <c r="J24" s="469" t="n"/>
      <c r="K24" s="472" t="n"/>
    </row>
    <row r="25" ht="14.25" customHeight="1" s="462" thickBot="1">
      <c r="B25" s="26" t="inlineStr">
        <is>
          <t>10(257)</t>
        </is>
      </c>
      <c r="C25" s="35" t="n"/>
      <c r="D25" s="35" t="n"/>
      <c r="E25" s="35" t="n"/>
      <c r="F25" s="466" t="n"/>
      <c r="K25" s="2" t="n"/>
    </row>
    <row r="26">
      <c r="B26" s="26" t="inlineStr">
        <is>
          <t>11(258)</t>
        </is>
      </c>
      <c r="C26" s="21" t="inlineStr">
        <is>
          <t>郡司</t>
        </is>
      </c>
      <c r="D26" s="35" t="n"/>
      <c r="E26" s="35" t="n"/>
      <c r="F26" s="466" t="n"/>
      <c r="H26" s="350" t="inlineStr">
        <is>
          <t>依頼件数</t>
        </is>
      </c>
      <c r="I26" s="465" t="n"/>
      <c r="J26" s="467" t="n"/>
      <c r="K26" s="354">
        <f>SUM(#REF!)+SUM(SUM(#REF!))</f>
        <v/>
      </c>
    </row>
    <row r="27" ht="14.25" customHeight="1" s="462" thickBot="1">
      <c r="B27" s="26" t="inlineStr">
        <is>
          <t>12(736)</t>
        </is>
      </c>
      <c r="C27" s="21" t="n"/>
      <c r="D27" s="35" t="n"/>
      <c r="E27" s="35" t="n"/>
      <c r="F27" s="466" t="n"/>
      <c r="H27" s="468" t="n"/>
      <c r="I27" s="477" t="n"/>
      <c r="J27" s="469" t="n"/>
      <c r="K27" s="472" t="n"/>
    </row>
    <row r="28" ht="16.5" customHeight="1" s="462">
      <c r="B28" s="26" t="inlineStr">
        <is>
          <t>13(737)</t>
        </is>
      </c>
      <c r="C28" s="21" t="n"/>
      <c r="D28" s="35" t="n"/>
      <c r="E28" s="35" t="n"/>
      <c r="F28" s="466" t="n"/>
      <c r="H28" s="38" t="n"/>
      <c r="I28" s="38" t="n"/>
      <c r="J28" s="38" t="n"/>
      <c r="K28" s="39" t="n"/>
    </row>
    <row r="29" ht="16.5" customHeight="1" s="462">
      <c r="B29" s="40" t="inlineStr">
        <is>
          <t>14(738)</t>
        </is>
      </c>
      <c r="C29" s="21" t="inlineStr">
        <is>
          <t>辻井</t>
        </is>
      </c>
      <c r="D29" s="35" t="n"/>
      <c r="E29" s="35" t="n"/>
      <c r="F29" s="466" t="n"/>
      <c r="H29" s="38" t="n"/>
      <c r="I29" s="38" t="n"/>
      <c r="J29" s="38" t="n"/>
      <c r="K29" s="39" t="n"/>
    </row>
    <row r="30" ht="8.25" customHeight="1" s="462">
      <c r="B30" s="41" t="n"/>
      <c r="C30" s="42" t="n"/>
      <c r="D30" s="43" t="n"/>
      <c r="E30" s="44" t="n"/>
      <c r="F30" s="349" t="n"/>
      <c r="H30" s="38" t="n"/>
      <c r="I30" s="38" t="n"/>
      <c r="J30" s="38" t="n"/>
      <c r="K30" s="39" t="n"/>
    </row>
    <row r="31" ht="17.25" customHeight="1" s="462">
      <c r="B31" s="45" t="n">
        <v>7290</v>
      </c>
      <c r="C31" s="21" t="inlineStr">
        <is>
          <t>佐藤</t>
        </is>
      </c>
      <c r="D31" s="35" t="n"/>
      <c r="E31" s="348" t="n"/>
      <c r="F31" s="349" t="n"/>
      <c r="H31" s="38" t="n"/>
      <c r="I31" s="38" t="n"/>
      <c r="J31" s="38" t="n"/>
      <c r="K31" s="39" t="n"/>
    </row>
    <row r="32" ht="17.25" customHeight="1" s="462">
      <c r="B32" s="45" t="n">
        <v>7291</v>
      </c>
      <c r="C32" s="21" t="inlineStr">
        <is>
          <t>末次</t>
        </is>
      </c>
      <c r="D32" s="35" t="n"/>
      <c r="E32" s="348" t="n"/>
      <c r="F32" s="349" t="n"/>
      <c r="H32" s="38" t="n"/>
      <c r="I32" s="38" t="n"/>
      <c r="J32" s="38" t="n"/>
      <c r="K32" s="39" t="n"/>
    </row>
    <row r="33" ht="9" customHeight="1" s="462">
      <c r="B33" s="41" t="n"/>
      <c r="C33" s="42" t="n"/>
      <c r="D33" s="44" t="n"/>
      <c r="E33" s="44" t="n"/>
      <c r="F33" s="349" t="n"/>
      <c r="H33" s="38" t="n"/>
      <c r="I33" s="38" t="n"/>
      <c r="J33" s="38" t="n"/>
      <c r="K33" s="39" t="n"/>
    </row>
    <row r="34" ht="16.5" customHeight="1" s="462">
      <c r="B34" s="45" t="n">
        <v>333</v>
      </c>
      <c r="C34" s="21" t="inlineStr">
        <is>
          <t>金井/奥田</t>
        </is>
      </c>
      <c r="D34" s="35" t="n"/>
      <c r="E34" s="484" t="n"/>
      <c r="F34" s="469" t="n"/>
      <c r="H34" s="38" t="n"/>
      <c r="I34" s="38" t="n"/>
      <c r="J34" s="38" t="n"/>
      <c r="K34" s="39" t="n"/>
    </row>
    <row r="35" ht="16.5" customHeight="1" s="462">
      <c r="B35" s="46" t="n">
        <v>666</v>
      </c>
      <c r="C35" s="21" t="inlineStr">
        <is>
          <t>徳留</t>
        </is>
      </c>
      <c r="D35" s="35" t="n"/>
      <c r="E35" s="35" t="n"/>
      <c r="F35" s="466" t="n"/>
      <c r="H35" s="38" t="n"/>
      <c r="I35" s="38" t="n"/>
      <c r="J35" s="38" t="n"/>
      <c r="K35" s="39" t="n"/>
    </row>
    <row r="36" ht="16.5" customHeight="1" s="462">
      <c r="B36" s="46" t="n">
        <v>777</v>
      </c>
      <c r="C36" s="21" t="n"/>
      <c r="D36" s="35" t="n"/>
      <c r="E36" s="348" t="n"/>
      <c r="F36" s="349" t="n"/>
      <c r="H36" s="38" t="n"/>
      <c r="I36" s="38" t="n"/>
      <c r="J36" s="38" t="n"/>
      <c r="K36" s="39" t="n"/>
    </row>
    <row r="37" ht="16.5" customHeight="1" s="462">
      <c r="B37" s="47" t="n">
        <v>330</v>
      </c>
      <c r="C37" s="21" t="n"/>
      <c r="D37" s="35" t="n"/>
      <c r="E37" s="35" t="n"/>
      <c r="F37" s="466" t="n"/>
      <c r="H37" s="38" t="n"/>
      <c r="I37" s="38" t="n"/>
      <c r="J37" s="38" t="n"/>
      <c r="K37" s="39" t="n"/>
    </row>
    <row r="38" ht="16.5" customHeight="1" s="462">
      <c r="B38" s="47" t="n">
        <v>990</v>
      </c>
      <c r="C38" s="21" t="inlineStr">
        <is>
          <t>山原</t>
        </is>
      </c>
      <c r="D38" s="35" t="n"/>
      <c r="E38" s="35" t="n"/>
      <c r="F38" s="466" t="n"/>
      <c r="H38" s="38" t="n"/>
      <c r="I38" s="38" t="n"/>
      <c r="J38" s="38" t="n"/>
      <c r="K38" s="39" t="n"/>
    </row>
    <row r="39">
      <c r="K39" s="2" t="n"/>
    </row>
    <row r="40">
      <c r="C40" s="449" t="inlineStr">
        <is>
          <t>出発→到着</t>
        </is>
      </c>
      <c r="D40" s="420" t="inlineStr">
        <is>
          <t>備考</t>
        </is>
      </c>
      <c r="K40" s="2" t="n"/>
    </row>
    <row r="41">
      <c r="B41" s="27" t="inlineStr">
        <is>
          <t>①</t>
        </is>
      </c>
      <c r="C41" s="449" t="inlineStr">
        <is>
          <t>東→西</t>
        </is>
      </c>
      <c r="D41" s="485" t="inlineStr">
        <is>
          <t>①Aチーム優先</t>
        </is>
      </c>
      <c r="E41" s="486" t="n"/>
      <c r="F41" s="486" t="n"/>
      <c r="G41" s="486" t="n"/>
      <c r="H41" s="486" t="n"/>
      <c r="I41" s="486" t="n"/>
      <c r="J41" s="466" t="n"/>
      <c r="K41" s="2" t="n"/>
    </row>
    <row r="42">
      <c r="B42" s="27" t="inlineStr">
        <is>
          <t>②</t>
        </is>
      </c>
      <c r="C42" s="449" t="inlineStr">
        <is>
          <t>東→東</t>
        </is>
      </c>
      <c r="D42" s="485" t="inlineStr">
        <is>
          <t>②急ぎ案件の場合、道路状況も伝えてあげる。</t>
        </is>
      </c>
      <c r="E42" s="486" t="n"/>
      <c r="F42" s="486" t="n"/>
      <c r="G42" s="486" t="n"/>
      <c r="H42" s="486" t="n"/>
      <c r="I42" s="486" t="n"/>
      <c r="J42" s="466" t="n"/>
      <c r="K42" s="2" t="n"/>
    </row>
    <row r="43">
      <c r="B43" s="27" t="inlineStr">
        <is>
          <t>③</t>
        </is>
      </c>
      <c r="C43" s="449" t="inlineStr">
        <is>
          <t>西→東</t>
        </is>
      </c>
      <c r="D43" s="485" t="inlineStr">
        <is>
          <t>③各ドライバーの位置からの帰社のタイミング・夕方の配置</t>
        </is>
      </c>
      <c r="E43" s="486" t="n"/>
      <c r="F43" s="486" t="n"/>
      <c r="G43" s="486" t="n"/>
      <c r="H43" s="486" t="n"/>
      <c r="I43" s="486" t="n"/>
      <c r="J43" s="466" t="n"/>
      <c r="K43" s="2" t="n"/>
    </row>
    <row r="44">
      <c r="B44" s="27" t="inlineStr">
        <is>
          <t>④</t>
        </is>
      </c>
      <c r="C44" s="449" t="inlineStr">
        <is>
          <t>西→西</t>
        </is>
      </c>
      <c r="D44" s="485" t="inlineStr">
        <is>
          <t>④依頼を受ける際の、希望時間と現状の位置。行けるか行けないかの判断をしっかりと。</t>
        </is>
      </c>
      <c r="E44" s="486" t="n"/>
      <c r="F44" s="486" t="n"/>
      <c r="G44" s="486" t="n"/>
      <c r="H44" s="486" t="n"/>
      <c r="I44" s="486" t="n"/>
      <c r="J44" s="466" t="n"/>
      <c r="K44" s="2" t="n"/>
    </row>
    <row r="45">
      <c r="D45" s="485" t="inlineStr">
        <is>
          <t>⑤軽に乗るか乗らないかの判断に気を付ける。</t>
        </is>
      </c>
      <c r="E45" s="486" t="n"/>
      <c r="F45" s="486" t="n"/>
      <c r="G45" s="486" t="n"/>
      <c r="H45" s="486" t="n"/>
      <c r="I45" s="486" t="n"/>
      <c r="J45" s="466" t="n"/>
      <c r="K45" s="2" t="n"/>
    </row>
    <row r="46">
      <c r="B46" s="22" t="n"/>
      <c r="C46" s="420" t="inlineStr">
        <is>
          <t>現状配置(予測)</t>
        </is>
      </c>
      <c r="D46" s="485" t="inlineStr">
        <is>
          <t>⑥18/1日、1.8/1人、3件/1人</t>
        </is>
      </c>
      <c r="E46" s="486" t="n"/>
      <c r="F46" s="486" t="n"/>
      <c r="G46" s="486" t="n"/>
      <c r="H46" s="486" t="n"/>
      <c r="I46" s="486" t="n"/>
      <c r="J46" s="466" t="n"/>
      <c r="K46" s="2" t="n"/>
    </row>
    <row r="47">
      <c r="B47" s="420" t="inlineStr">
        <is>
          <t>西(神戸西・弥栄台)</t>
        </is>
      </c>
      <c r="C47" s="420" t="n"/>
      <c r="D47" s="485" t="inlineStr">
        <is>
          <t>⑦依頼書の見落とし(日付、入替、入出庫、場所）</t>
        </is>
      </c>
      <c r="E47" s="486" t="n"/>
      <c r="F47" s="486" t="n"/>
      <c r="G47" s="486" t="n"/>
      <c r="H47" s="486" t="n"/>
      <c r="I47" s="486" t="n"/>
      <c r="J47" s="466" t="n"/>
      <c r="K47" s="2" t="n"/>
    </row>
    <row r="48">
      <c r="B48" s="420" t="inlineStr">
        <is>
          <t>真ん中(摩耶・中央)</t>
        </is>
      </c>
      <c r="C48" s="420" t="n"/>
      <c r="D48" s="485" t="inlineStr">
        <is>
          <t>⑧3ｔ車と2ｔ車への振り方(西と東に振り分ける)</t>
        </is>
      </c>
      <c r="E48" s="486" t="n"/>
      <c r="F48" s="486" t="n"/>
      <c r="G48" s="486" t="n"/>
      <c r="H48" s="486" t="n"/>
      <c r="I48" s="486" t="n"/>
      <c r="J48" s="466" t="n"/>
      <c r="K48" s="2" t="n"/>
    </row>
    <row r="49">
      <c r="B49" s="420" t="inlineStr">
        <is>
          <t>東(尼崎・伊丹・西宮)</t>
        </is>
      </c>
      <c r="C49" s="420" t="n"/>
      <c r="D49" s="485" t="inlineStr">
        <is>
          <t>⑨</t>
        </is>
      </c>
      <c r="E49" s="486" t="n"/>
      <c r="F49" s="486" t="n"/>
      <c r="G49" s="486" t="n"/>
      <c r="H49" s="486" t="n"/>
      <c r="I49" s="486" t="n"/>
      <c r="J49" s="466" t="n"/>
      <c r="K49" s="2" t="n"/>
    </row>
    <row r="50">
      <c r="B50" s="48" t="inlineStr">
        <is>
          <t>極東(港区・淀屋橋)</t>
        </is>
      </c>
      <c r="C50" s="420" t="n"/>
      <c r="D50" s="49" t="n"/>
      <c r="E50" s="49" t="n"/>
      <c r="F50" s="49" t="n"/>
      <c r="G50" s="49" t="n"/>
      <c r="H50" s="49" t="n"/>
      <c r="I50" s="49" t="n"/>
      <c r="J50" s="49" t="n"/>
      <c r="K50" s="2" t="n"/>
    </row>
    <row r="51" ht="14.25" customHeight="1" s="462" thickBot="1">
      <c r="K51" s="2" t="n"/>
    </row>
    <row r="52">
      <c r="C52" s="473" t="inlineStr">
        <is>
          <t>合計額/380</t>
        </is>
      </c>
      <c r="D52" s="358">
        <f>SUM(G52)</f>
        <v/>
      </c>
      <c r="F52" s="360" t="inlineStr">
        <is>
          <t>売り上げ額</t>
        </is>
      </c>
      <c r="G52" s="362">
        <f>SUM(SUM(K4:K18))+SUM(#REF!)</f>
        <v/>
      </c>
      <c r="H52" s="465" t="n"/>
      <c r="I52" s="465" t="n"/>
      <c r="J52" s="467" t="n"/>
      <c r="K52" s="2" t="n"/>
    </row>
    <row r="53" ht="14.25" customHeight="1" s="462" thickBot="1">
      <c r="C53" s="474" t="n"/>
      <c r="D53" s="475" t="n"/>
      <c r="F53" s="468" t="n"/>
      <c r="G53" s="476" t="n"/>
      <c r="H53" s="477" t="n"/>
      <c r="I53" s="477" t="n"/>
      <c r="J53" s="469" t="n"/>
      <c r="K53" s="2" t="n"/>
    </row>
    <row r="54">
      <c r="C54" s="478" t="inlineStr">
        <is>
          <t>前日までの売上合計額</t>
        </is>
      </c>
      <c r="D54" s="479">
        <f>SUM(B63)</f>
        <v/>
      </c>
      <c r="K54" s="2" t="n"/>
    </row>
    <row r="55" ht="14.25" customHeight="1" s="462" thickBot="1">
      <c r="C55" s="480" t="n"/>
      <c r="D55" s="480" t="n"/>
      <c r="F55" s="420" t="inlineStr">
        <is>
          <t>金井（55)</t>
        </is>
      </c>
      <c r="G55" s="345" t="n"/>
      <c r="H55" s="466" t="n"/>
      <c r="I55" s="130" t="n"/>
      <c r="K55" s="2" t="n"/>
    </row>
    <row r="56" ht="14.25" customHeight="1" s="462" thickTop="1">
      <c r="D56" s="346">
        <f>D52+D54</f>
        <v/>
      </c>
      <c r="F56" s="420" t="inlineStr">
        <is>
          <t>粟津(55)</t>
        </is>
      </c>
      <c r="G56" s="340" t="n"/>
      <c r="H56" s="466" t="n"/>
      <c r="I56" s="131" t="n"/>
      <c r="K56" s="2" t="n"/>
    </row>
    <row r="57">
      <c r="F57" s="420" t="inlineStr">
        <is>
          <t>砂川(50)</t>
        </is>
      </c>
      <c r="G57" s="340" t="n"/>
      <c r="H57" s="466" t="n"/>
      <c r="I57" s="131" t="n"/>
      <c r="K57" s="2" t="n"/>
    </row>
    <row r="58">
      <c r="C58" s="2" t="inlineStr">
        <is>
          <t>高代</t>
        </is>
      </c>
      <c r="F58" s="420" t="inlineStr">
        <is>
          <t>前川(50)</t>
        </is>
      </c>
      <c r="G58" s="340" t="n"/>
      <c r="H58" s="466" t="n"/>
      <c r="I58" s="131" t="n"/>
      <c r="K58" s="2" t="n"/>
    </row>
    <row r="59">
      <c r="C59" s="2" t="inlineStr">
        <is>
          <t>返還代</t>
        </is>
      </c>
      <c r="F59" s="420" t="inlineStr">
        <is>
          <t>佐藤(50)</t>
        </is>
      </c>
      <c r="G59" s="345" t="n"/>
      <c r="H59" s="466" t="n"/>
      <c r="I59" s="130" t="n"/>
      <c r="K59" s="2" t="n"/>
    </row>
    <row r="60">
      <c r="C60" s="2" t="inlineStr">
        <is>
          <t>回収率</t>
        </is>
      </c>
      <c r="D60" s="50">
        <f>D59/D58</f>
        <v/>
      </c>
      <c r="F60" s="420" t="inlineStr">
        <is>
          <t>末次(55)</t>
        </is>
      </c>
      <c r="G60" s="340" t="n"/>
      <c r="H60" s="466" t="n"/>
      <c r="I60" s="131" t="n"/>
      <c r="K60" s="2" t="n"/>
    </row>
    <row r="61">
      <c r="C61" s="2" t="inlineStr">
        <is>
          <t>費</t>
        </is>
      </c>
      <c r="D61" s="2">
        <f>D58-D59</f>
        <v/>
      </c>
      <c r="F61" s="420" t="inlineStr">
        <is>
          <t>筒井(75)</t>
        </is>
      </c>
      <c r="G61" s="340" t="n"/>
      <c r="H61" s="466" t="n"/>
      <c r="I61" s="131" t="n"/>
      <c r="K61" s="2" t="n"/>
    </row>
    <row r="62">
      <c r="F62" s="420" t="inlineStr">
        <is>
          <t>山岸(40)</t>
        </is>
      </c>
      <c r="G62" s="340" t="n"/>
      <c r="H62" s="466" t="n"/>
      <c r="I62" s="131" t="n"/>
      <c r="K62" s="2" t="n"/>
    </row>
    <row r="63" ht="23.25" customHeight="1" s="462">
      <c r="B63" s="71" t="n"/>
      <c r="F63" s="420" t="inlineStr">
        <is>
          <t>多苗(30)</t>
        </is>
      </c>
      <c r="G63" s="340" t="n"/>
      <c r="H63" s="466" t="n"/>
      <c r="I63" s="131" t="n"/>
      <c r="K63" s="2" t="n"/>
      <c r="L63" s="2" t="inlineStr">
        <is>
          <t> </t>
        </is>
      </c>
    </row>
    <row r="64">
      <c r="K64" s="2" t="n"/>
    </row>
    <row r="65">
      <c r="K65" s="2" t="n"/>
    </row>
  </sheetData>
  <mergeCells count="51">
    <mergeCell ref="G59:H59"/>
    <mergeCell ref="G52:J53"/>
    <mergeCell ref="K21:K22"/>
    <mergeCell ref="E24:F24"/>
    <mergeCell ref="K26:K27"/>
    <mergeCell ref="D52:D53"/>
    <mergeCell ref="E23:F23"/>
    <mergeCell ref="M5:N5"/>
    <mergeCell ref="D42:J42"/>
    <mergeCell ref="G61:H61"/>
    <mergeCell ref="C54:C55"/>
    <mergeCell ref="H23:J24"/>
    <mergeCell ref="E35:F35"/>
    <mergeCell ref="B2:C2"/>
    <mergeCell ref="E38:F38"/>
    <mergeCell ref="E29:F29"/>
    <mergeCell ref="D44:J44"/>
    <mergeCell ref="H26:J27"/>
    <mergeCell ref="D56:D57"/>
    <mergeCell ref="G57:H57"/>
    <mergeCell ref="E28:F28"/>
    <mergeCell ref="G62:H62"/>
    <mergeCell ref="H21:J22"/>
    <mergeCell ref="E34:F34"/>
    <mergeCell ref="M7:N7"/>
    <mergeCell ref="D46:J46"/>
    <mergeCell ref="C52:C53"/>
    <mergeCell ref="M12:N12"/>
    <mergeCell ref="K23:K24"/>
    <mergeCell ref="D45:J45"/>
    <mergeCell ref="F52:F53"/>
    <mergeCell ref="E27:F27"/>
    <mergeCell ref="G58:H58"/>
    <mergeCell ref="M18:N18"/>
    <mergeCell ref="M3:N3"/>
    <mergeCell ref="E26:F26"/>
    <mergeCell ref="D49:J49"/>
    <mergeCell ref="D54:D55"/>
    <mergeCell ref="G55:H55"/>
    <mergeCell ref="D41:J41"/>
    <mergeCell ref="D48:J48"/>
    <mergeCell ref="E25:F25"/>
    <mergeCell ref="G63:H63"/>
    <mergeCell ref="D47:J47"/>
    <mergeCell ref="E37:F37"/>
    <mergeCell ref="E22:F22"/>
    <mergeCell ref="G60:H60"/>
    <mergeCell ref="D43:J43"/>
    <mergeCell ref="M4:N4"/>
    <mergeCell ref="G56:H56"/>
    <mergeCell ref="E21:F21"/>
  </mergeCells>
  <conditionalFormatting sqref="K23:K2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L3:L18">
    <cfRule type="cellIs" priority="3" operator="greaterThan" dxfId="0">
      <formula>30</formula>
    </cfRule>
  </conditionalFormatting>
  <conditionalFormatting sqref="D5:D26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portrait" paperSize="9" scale="41"/>
</worksheet>
</file>

<file path=xl/worksheets/sheet9.xml><?xml version="1.0" encoding="utf-8"?>
<worksheet xmlns="http://schemas.openxmlformats.org/spreadsheetml/2006/main">
  <sheetPr codeName="Sheet8">
    <tabColor rgb="FFFF0000"/>
    <outlinePr summaryBelow="1" summaryRight="1"/>
    <pageSetUpPr/>
  </sheetPr>
  <dimension ref="A1:R76"/>
  <sheetViews>
    <sheetView zoomScale="70" zoomScaleNormal="70" workbookViewId="0">
      <selection activeCell="D67" sqref="D67:D68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2" min="11" max="11"/>
    <col width="8.75" customWidth="1" style="2" min="12" max="16384"/>
  </cols>
  <sheetData>
    <row r="1"/>
    <row r="2" ht="15" customHeight="1" s="462" thickBot="1">
      <c r="B2" s="490" t="n">
        <v>46176</v>
      </c>
      <c r="C2" s="463" t="n"/>
      <c r="D2" s="2" t="inlineStr">
        <is>
          <t>NO.2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IF(B5="","",COUNTA($B$6:B9))</f>
        <v/>
      </c>
      <c r="B5" s="57" t="n"/>
      <c r="C5" s="63" t="n"/>
      <c r="D5" s="441" t="n"/>
      <c r="E5" s="441" t="n"/>
      <c r="F5" s="57" t="n"/>
      <c r="G5" s="65" t="n"/>
      <c r="H5" s="74" t="n"/>
      <c r="I5" s="80" t="n"/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  <c r="R5" s="449" t="n"/>
    </row>
    <row r="6" ht="48" customHeight="1" s="462">
      <c r="A6" s="423">
        <f>IF(B6="","",COUNTA($B$6:B6))</f>
        <v/>
      </c>
      <c r="B6" s="57" t="n"/>
      <c r="C6" s="64" t="n"/>
      <c r="D6" s="63" t="n"/>
      <c r="E6" s="129" t="n"/>
      <c r="F6" s="57" t="n"/>
      <c r="G6" s="59" t="n"/>
      <c r="H6" s="262" t="n"/>
      <c r="I6" s="319">
        <f>IFERROR(_xlfn.XLOOKUP(H6,案件・ドライバー一覧!$L$3:$L$17,案件・ドライバー一覧!$M$3:$M$17,""),"")</f>
        <v/>
      </c>
      <c r="J6" s="57" t="n"/>
      <c r="K6" s="72" t="n"/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IF(B7="","",COUNTA($B$6:B9))</f>
        <v/>
      </c>
      <c r="B7" s="57" t="n"/>
      <c r="C7" s="63" t="n"/>
      <c r="D7" s="441" t="n"/>
      <c r="E7" s="441" t="n"/>
      <c r="F7" s="57" t="n"/>
      <c r="G7" s="65" t="n"/>
      <c r="H7" s="262" t="n"/>
      <c r="I7" s="319">
        <f>IFERROR(_xlfn.XLOOKUP(H7,案件・ドライバー一覧!$L$3:$L$17,案件・ドライバー一覧!$M$3:$M$17,""),"")</f>
        <v/>
      </c>
      <c r="J7" s="57" t="n"/>
      <c r="K7" s="72" t="n"/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 t="n"/>
      <c r="B8" s="57" t="n"/>
      <c r="C8" s="63" t="n"/>
      <c r="D8" s="246" t="n"/>
      <c r="E8" s="441" t="n"/>
      <c r="F8" s="57" t="n"/>
      <c r="G8" s="65" t="n"/>
      <c r="H8" s="262" t="n"/>
      <c r="I8" s="319">
        <f>IFERROR(_xlfn.XLOOKUP(H8,案件・ドライバー一覧!$L$3:$L$17,案件・ドライバー一覧!$M$3:$M$17,""),"")</f>
        <v/>
      </c>
      <c r="J8" s="57" t="n"/>
      <c r="K8" s="72" t="n"/>
      <c r="L8" s="61" t="n"/>
      <c r="M8" s="449" t="n"/>
      <c r="N8" s="449" t="n"/>
      <c r="O8" s="449" t="n"/>
      <c r="P8" s="449" t="n"/>
      <c r="Q8" s="449" t="n"/>
      <c r="R8" s="449" t="n"/>
    </row>
    <row r="9">
      <c r="A9" s="423">
        <f>IF(B9="","",COUNTA($B$6:B9))</f>
        <v/>
      </c>
      <c r="B9" s="57" t="n"/>
      <c r="C9" s="63" t="n"/>
      <c r="D9" s="441" t="n"/>
      <c r="E9" s="441" t="n"/>
      <c r="F9" s="57" t="n"/>
      <c r="G9" s="65" t="n"/>
      <c r="H9" s="74" t="n"/>
      <c r="I9" s="74" t="n"/>
      <c r="J9" s="420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</row>
    <row r="10" ht="27" customHeight="1" s="462">
      <c r="A10" s="423">
        <f>IF(B10="","",COUNTA($B$6:B10))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IF(B11="","",COUNTA($B$6:B11))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IF(B12="","",COUNTA($B$6:B12))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IF(B13="","",COUNTA($B$6:B13))</f>
        <v/>
      </c>
      <c r="B13" s="57" t="n"/>
      <c r="C13" s="63" t="n"/>
      <c r="D13" s="441" t="n"/>
      <c r="E13" s="441" t="n"/>
      <c r="F13" s="57" t="n"/>
      <c r="G13" s="65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IF(B14="","",COUNTA($B$6:B14))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IF(B15="","",COUNTA($B$6:B15))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IF(B16="","",COUNTA($B$6:B16))</f>
        <v/>
      </c>
      <c r="B16" s="57" t="n"/>
      <c r="C16" s="64" t="n"/>
      <c r="D16" s="441" t="n"/>
      <c r="E16" s="63" t="n"/>
      <c r="F16" s="441" t="n"/>
      <c r="G16" s="59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IF(B17="","",COUNTA($B$6:B17))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IF(B18="","",COUNTA($B$6:B18))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IF(B19="","",COUNTA($B$6:B19))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IF(B20="","",COUNTA($B$6:B20))</f>
        <v/>
      </c>
      <c r="B20" s="57" t="n"/>
      <c r="C20" s="63" t="n"/>
      <c r="D20" s="441" t="n"/>
      <c r="E20" s="441" t="n"/>
      <c r="F20" s="57" t="n"/>
      <c r="G20" s="65" t="n"/>
      <c r="H20" s="74" t="n"/>
      <c r="I20" s="80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IF(B21="","",COUNTA($B$6:B21))</f>
        <v/>
      </c>
      <c r="B21" s="57" t="n"/>
      <c r="C21" s="63" t="n"/>
      <c r="D21" s="441" t="n"/>
      <c r="E21" s="441" t="n"/>
      <c r="F21" s="57" t="n"/>
      <c r="G21" s="65" t="n"/>
      <c r="H21" s="74" t="n"/>
      <c r="I21" s="80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  <c r="R21" s="449" t="n"/>
    </row>
    <row r="22" ht="27" customHeight="1" s="462">
      <c r="A22" s="423">
        <f>IF(B22="","",COUNTA($B$6:B22))</f>
        <v/>
      </c>
      <c r="B22" s="57" t="n"/>
      <c r="C22" s="63" t="n"/>
      <c r="D22" s="441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IF(B23="","",COUNTA($B$6:B23))</f>
        <v/>
      </c>
      <c r="B23" s="57" t="n"/>
      <c r="C23" s="62" t="n"/>
      <c r="D23" s="63" t="n"/>
      <c r="E23" s="441" t="n"/>
      <c r="F23" s="57" t="n"/>
      <c r="G23" s="66" t="n"/>
      <c r="H23" s="74" t="n"/>
      <c r="I23" s="80" t="n"/>
      <c r="J23" s="57" t="n"/>
      <c r="K23" s="73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" customHeight="1" s="462">
      <c r="A24" s="423">
        <f>IF(B24="","",COUNTA($B$6:B24))</f>
        <v/>
      </c>
      <c r="B24" s="57" t="n"/>
      <c r="C24" s="63" t="n"/>
      <c r="D24" s="64" t="n"/>
      <c r="E24" s="420" t="n"/>
      <c r="F24" s="57" t="n"/>
      <c r="G24" s="66" t="n"/>
      <c r="H24" s="74" t="n"/>
      <c r="I24" s="74" t="n"/>
      <c r="J24" s="420" t="n"/>
      <c r="K24" s="73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</row>
    <row r="25" ht="27" customHeight="1" s="462">
      <c r="A25" s="423">
        <f>IF(B25="","",COUNTA($B$6:B25))</f>
        <v/>
      </c>
      <c r="B25" s="57" t="n"/>
      <c r="C25" s="420" t="n"/>
      <c r="D25" s="63" t="n"/>
      <c r="E25" s="441" t="n"/>
      <c r="F25" s="57" t="n"/>
      <c r="G25" s="65" t="n"/>
      <c r="H25" s="74" t="n"/>
      <c r="I25" s="80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</row>
    <row r="26" ht="27" customHeight="1" s="462">
      <c r="A26" s="423">
        <f>IF(B26="","",COUNTA($B$6:B26))</f>
        <v/>
      </c>
      <c r="B26" s="57" t="n"/>
      <c r="C26" s="57" t="n"/>
      <c r="D26" s="441" t="n"/>
      <c r="E26" s="441" t="n"/>
      <c r="F26" s="57" t="n"/>
      <c r="G26" s="66" t="n"/>
      <c r="H26" s="74" t="n"/>
      <c r="I26" s="80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</row>
    <row r="27" ht="27" customHeight="1" s="462">
      <c r="A27" s="423">
        <f>IF(B27="","",COUNTA($B$6:B27))</f>
        <v/>
      </c>
      <c r="B27" s="441" t="n"/>
      <c r="C27" s="440" t="n"/>
      <c r="D27" s="441" t="n"/>
      <c r="E27" s="440" t="n"/>
      <c r="F27" s="57" t="n"/>
      <c r="G27" s="65" t="n"/>
      <c r="H27" s="74" t="n"/>
      <c r="I27" s="74" t="n"/>
      <c r="J27" s="420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</row>
    <row r="28" ht="27.75" customHeight="1" s="462">
      <c r="A28" s="423">
        <f>IF(B28="","",COUNTA($B$6:B28))</f>
        <v/>
      </c>
      <c r="B28" s="441" t="n"/>
      <c r="C28" s="63" t="n"/>
      <c r="D28" s="440" t="n"/>
      <c r="E28" s="441" t="n"/>
      <c r="F28" s="57" t="n"/>
      <c r="G28" s="59" t="n"/>
      <c r="H28" s="60" t="n"/>
      <c r="I28" s="60" t="n"/>
      <c r="J28" s="57" t="n"/>
      <c r="K28" s="73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</row>
    <row r="29" ht="27" customHeight="1" s="462">
      <c r="A29" s="423">
        <f>IF(B29="","",COUNTA($B$6:B29))</f>
        <v/>
      </c>
      <c r="B29" s="441" t="n"/>
      <c r="C29" s="63" t="n"/>
      <c r="D29" s="440" t="n"/>
      <c r="E29" s="441" t="n"/>
      <c r="F29" s="57" t="n"/>
      <c r="G29" s="59" t="n"/>
      <c r="H29" s="60" t="n"/>
      <c r="I29" s="60" t="n"/>
      <c r="J29" s="57" t="n"/>
      <c r="K29" s="73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  <c r="R29" s="449" t="n"/>
    </row>
    <row r="30" ht="27" customHeight="1" s="462">
      <c r="A30" s="423">
        <f>IF(B30="","",COUNTA($B$6:B30))</f>
        <v/>
      </c>
      <c r="B30" s="441" t="n"/>
      <c r="C30" s="63" t="n"/>
      <c r="D30" s="440" t="n"/>
      <c r="E30" s="441" t="n"/>
      <c r="F30" s="57" t="n"/>
      <c r="G30" s="59" t="n"/>
      <c r="H30" s="60" t="n"/>
      <c r="I30" s="60" t="n"/>
      <c r="J30" s="57" t="n"/>
      <c r="K30" s="73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M30" s="449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IF(B31="","",COUNTA($B$6:B31))</f>
        <v/>
      </c>
      <c r="B31" s="420" t="n"/>
      <c r="C31" s="420" t="n"/>
      <c r="D31" s="420" t="n"/>
      <c r="E31" s="420" t="n"/>
      <c r="F31" s="420" t="n"/>
      <c r="G31" s="69" t="n"/>
      <c r="H31" s="70" t="n"/>
      <c r="I31" s="70" t="n"/>
      <c r="J31" s="420" t="n"/>
      <c r="K31" s="2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  <c r="O31" s="449" t="n"/>
      <c r="P31" s="449" t="n"/>
      <c r="Q31" s="449" t="n"/>
    </row>
    <row r="32" ht="27" customHeight="1" s="462">
      <c r="B32" s="18" t="n"/>
      <c r="C32" s="18" t="n"/>
      <c r="D32" s="18" t="n"/>
      <c r="E32" s="18" t="n"/>
      <c r="F32" s="18" t="n"/>
      <c r="G32" s="19" t="n"/>
      <c r="H32" s="33" t="n"/>
      <c r="I32" s="18" t="n"/>
      <c r="J32" s="18" t="n"/>
      <c r="K32" s="18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3" ht="14.25" customHeight="1" s="462" thickBot="1">
      <c r="K33" s="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>
      <c r="B34" s="22" t="n"/>
      <c r="C34" s="25" t="n"/>
      <c r="D34" s="25" t="inlineStr">
        <is>
          <t>現在待機場所</t>
        </is>
      </c>
      <c r="E34" s="25" t="inlineStr">
        <is>
          <t>待機予定場所</t>
        </is>
      </c>
      <c r="F34" s="466" t="n"/>
      <c r="H34" s="375" t="inlineStr">
        <is>
          <t>目標距離</t>
        </is>
      </c>
      <c r="I34" s="465" t="n"/>
      <c r="J34" s="467" t="n"/>
      <c r="K34" s="377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5" ht="14.25" customHeight="1" s="462" thickBot="1">
      <c r="B35" s="26" t="inlineStr">
        <is>
          <t>2(255)</t>
        </is>
      </c>
      <c r="C35" s="21" t="inlineStr">
        <is>
          <t>山岸</t>
        </is>
      </c>
      <c r="D35" s="34" t="n"/>
      <c r="E35" s="34" t="n"/>
      <c r="F35" s="466" t="n"/>
      <c r="H35" s="468" t="n"/>
      <c r="I35" s="477" t="n"/>
      <c r="J35" s="469" t="n"/>
      <c r="K35" s="470" t="n"/>
    </row>
    <row r="36">
      <c r="B36" s="26" t="inlineStr">
        <is>
          <t>8(254)</t>
        </is>
      </c>
      <c r="C36" s="21" t="inlineStr">
        <is>
          <t>砂川</t>
        </is>
      </c>
      <c r="D36" s="35" t="n"/>
      <c r="E36" s="35" t="n"/>
      <c r="F36" s="466" t="n"/>
      <c r="H36" s="368" t="inlineStr">
        <is>
          <t>残距離</t>
        </is>
      </c>
      <c r="J36" s="471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4.25" customHeight="1" s="462" thickBot="1">
      <c r="B37" s="26" t="inlineStr">
        <is>
          <t>9(256)</t>
        </is>
      </c>
      <c r="C37" s="21" t="inlineStr">
        <is>
          <t>前川</t>
        </is>
      </c>
      <c r="D37" s="35" t="n"/>
      <c r="E37" s="35" t="n"/>
      <c r="F37" s="466" t="n"/>
      <c r="H37" s="468" t="n"/>
      <c r="I37" s="477" t="n"/>
      <c r="J37" s="469" t="n"/>
      <c r="K37" s="472" t="n"/>
    </row>
    <row r="38" ht="14.25" customHeight="1" s="462" thickBot="1">
      <c r="B38" s="26" t="inlineStr">
        <is>
          <t>10(257)</t>
        </is>
      </c>
      <c r="C38" s="35" t="n"/>
      <c r="D38" s="35" t="n"/>
      <c r="E38" s="35" t="n"/>
      <c r="F38" s="466" t="n"/>
      <c r="K38" s="2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>
      <c r="B39" s="26" t="inlineStr">
        <is>
          <t>11(258)</t>
        </is>
      </c>
      <c r="C39" s="21" t="inlineStr">
        <is>
          <t>郡司</t>
        </is>
      </c>
      <c r="D39" s="35" t="n"/>
      <c r="E39" s="35" t="n"/>
      <c r="F39" s="466" t="n"/>
      <c r="H39" s="350" t="inlineStr">
        <is>
          <t>依頼件数</t>
        </is>
      </c>
      <c r="I39" s="465" t="n"/>
      <c r="J39" s="467" t="n"/>
      <c r="K39" s="354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14.25" customHeight="1" s="462" thickBot="1">
      <c r="B40" s="26" t="inlineStr">
        <is>
          <t>12(736)</t>
        </is>
      </c>
      <c r="C40" s="21" t="n"/>
      <c r="D40" s="35" t="n"/>
      <c r="E40" s="35" t="n"/>
      <c r="F40" s="466" t="n"/>
      <c r="H40" s="468" t="n"/>
      <c r="I40" s="477" t="n"/>
      <c r="J40" s="469" t="n"/>
      <c r="K40" s="472" t="n"/>
    </row>
    <row r="41" ht="17.25" customHeight="1" s="462">
      <c r="B41" s="26" t="inlineStr">
        <is>
          <t>13(737)</t>
        </is>
      </c>
      <c r="C41" s="21" t="n"/>
      <c r="D41" s="35" t="n"/>
      <c r="E41" s="35" t="n"/>
      <c r="F41" s="466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2" ht="16.5" customHeight="1" s="462">
      <c r="B42" s="40" t="inlineStr">
        <is>
          <t>14(738)</t>
        </is>
      </c>
      <c r="C42" s="21" t="inlineStr">
        <is>
          <t>辻井</t>
        </is>
      </c>
      <c r="D42" s="35" t="n"/>
      <c r="E42" s="35" t="n"/>
      <c r="F42" s="466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3" ht="16.5" customHeight="1" s="462">
      <c r="B43" s="41" t="n"/>
      <c r="C43" s="42" t="n"/>
      <c r="D43" s="43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4" ht="8.25" customHeight="1" s="462">
      <c r="B44" s="45" t="n">
        <v>7290</v>
      </c>
      <c r="C44" s="21" t="inlineStr">
        <is>
          <t>佐藤</t>
        </is>
      </c>
      <c r="D44" s="35" t="n"/>
      <c r="E44" s="348" t="n"/>
      <c r="F44" s="34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5" ht="17.25" customHeight="1" s="462">
      <c r="B45" s="45" t="n">
        <v>7291</v>
      </c>
      <c r="C45" s="21" t="inlineStr">
        <is>
          <t>末次</t>
        </is>
      </c>
      <c r="D45" s="35" t="n"/>
      <c r="E45" s="348" t="n"/>
      <c r="F45" s="349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7.25" customHeight="1" s="462">
      <c r="B46" s="41" t="n"/>
      <c r="C46" s="42" t="n"/>
      <c r="D46" s="44" t="n"/>
      <c r="E46" s="44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 ht="9" customHeight="1" s="462">
      <c r="B47" s="45" t="n">
        <v>333</v>
      </c>
      <c r="C47" s="21" t="inlineStr">
        <is>
          <t>金井/奥田</t>
        </is>
      </c>
      <c r="D47" s="35" t="n"/>
      <c r="E47" s="484" t="n"/>
      <c r="F47" s="469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6.5" customHeight="1" s="462">
      <c r="B48" s="46" t="n">
        <v>666</v>
      </c>
      <c r="C48" s="21" t="inlineStr">
        <is>
          <t>徳留</t>
        </is>
      </c>
      <c r="D48" s="35" t="n"/>
      <c r="E48" s="35" t="n"/>
      <c r="F48" s="466" t="n"/>
      <c r="H48" s="38" t="n"/>
      <c r="I48" s="38" t="n"/>
      <c r="J48" s="38" t="n"/>
      <c r="K48" s="39" t="n"/>
    </row>
    <row r="49" ht="16.5" customHeight="1" s="462">
      <c r="B49" s="46" t="n">
        <v>777</v>
      </c>
      <c r="C49" s="21" t="n"/>
      <c r="D49" s="35" t="n"/>
      <c r="E49" s="348" t="n"/>
      <c r="F49" s="349" t="n"/>
      <c r="H49" s="38" t="n"/>
      <c r="I49" s="38" t="n"/>
      <c r="J49" s="38" t="n"/>
      <c r="K49" s="39" t="n"/>
    </row>
    <row r="50" ht="16.5" customHeight="1" s="462">
      <c r="B50" s="47" t="n">
        <v>330</v>
      </c>
      <c r="C50" s="21" t="n"/>
      <c r="D50" s="35" t="n"/>
      <c r="E50" s="35" t="n"/>
      <c r="F50" s="466" t="n"/>
      <c r="H50" s="38" t="n"/>
      <c r="I50" s="38" t="n"/>
      <c r="J50" s="38" t="n"/>
      <c r="K50" s="39" t="n"/>
    </row>
    <row r="51" ht="16.5" customHeight="1" s="462">
      <c r="B51" s="47" t="n">
        <v>990</v>
      </c>
      <c r="C51" s="21" t="inlineStr">
        <is>
          <t>山原</t>
        </is>
      </c>
      <c r="D51" s="35" t="n"/>
      <c r="E51" s="35" t="n"/>
      <c r="F51" s="466" t="n"/>
      <c r="H51" s="38" t="n"/>
      <c r="I51" s="38" t="n"/>
      <c r="J51" s="38" t="n"/>
      <c r="K51" s="39" t="n"/>
    </row>
    <row r="52" ht="16.5" customHeight="1" s="462"/>
    <row r="53">
      <c r="C53" s="449" t="inlineStr">
        <is>
          <t>出発→到着</t>
        </is>
      </c>
      <c r="D53" s="420" t="inlineStr">
        <is>
          <t>備考</t>
        </is>
      </c>
    </row>
    <row r="54">
      <c r="B54" s="27" t="inlineStr">
        <is>
          <t>①</t>
        </is>
      </c>
      <c r="C54" s="449" t="inlineStr">
        <is>
          <t>東→西</t>
        </is>
      </c>
      <c r="D54" s="485" t="inlineStr">
        <is>
          <t>①Aチーム優先</t>
        </is>
      </c>
      <c r="E54" s="486" t="n"/>
      <c r="F54" s="486" t="n"/>
      <c r="G54" s="486" t="n"/>
      <c r="H54" s="486" t="n"/>
      <c r="I54" s="486" t="n"/>
      <c r="J54" s="466" t="n"/>
    </row>
    <row r="55">
      <c r="B55" s="27" t="inlineStr">
        <is>
          <t>②</t>
        </is>
      </c>
      <c r="C55" s="449" t="inlineStr">
        <is>
          <t>東→東</t>
        </is>
      </c>
      <c r="D55" s="485" t="inlineStr">
        <is>
          <t>②急ぎ案件の場合、道路状況も伝えてあげる。</t>
        </is>
      </c>
      <c r="E55" s="486" t="n"/>
      <c r="F55" s="486" t="n"/>
      <c r="G55" s="486" t="n"/>
      <c r="H55" s="486" t="n"/>
      <c r="I55" s="486" t="n"/>
      <c r="J55" s="466" t="n"/>
    </row>
    <row r="56">
      <c r="B56" s="27" t="inlineStr">
        <is>
          <t>③</t>
        </is>
      </c>
      <c r="C56" s="449" t="inlineStr">
        <is>
          <t>西→東</t>
        </is>
      </c>
      <c r="D56" s="485" t="inlineStr">
        <is>
          <t>③各ドライバーの位置からの帰社のタイミング・夕方の配置</t>
        </is>
      </c>
      <c r="E56" s="486" t="n"/>
      <c r="F56" s="486" t="n"/>
      <c r="G56" s="486" t="n"/>
      <c r="H56" s="486" t="n"/>
      <c r="I56" s="486" t="n"/>
      <c r="J56" s="466" t="n"/>
    </row>
    <row r="57">
      <c r="B57" s="27" t="inlineStr">
        <is>
          <t>④</t>
        </is>
      </c>
      <c r="C57" s="449" t="inlineStr">
        <is>
          <t>西→西</t>
        </is>
      </c>
      <c r="D57" s="485" t="inlineStr">
        <is>
          <t>④依頼を受ける際の、希望時間と現状の位置。行けるか行けないかの判断をしっかりと。</t>
        </is>
      </c>
      <c r="E57" s="486" t="n"/>
      <c r="F57" s="486" t="n"/>
      <c r="G57" s="486" t="n"/>
      <c r="H57" s="486" t="n"/>
      <c r="I57" s="486" t="n"/>
      <c r="J57" s="466" t="n"/>
    </row>
    <row r="58">
      <c r="D58" s="485" t="inlineStr">
        <is>
          <t>⑤軽に乗るか乗らないかの判断に気を付ける。</t>
        </is>
      </c>
      <c r="E58" s="486" t="n"/>
      <c r="F58" s="486" t="n"/>
      <c r="G58" s="486" t="n"/>
      <c r="H58" s="486" t="n"/>
      <c r="I58" s="486" t="n"/>
      <c r="J58" s="466" t="n"/>
    </row>
    <row r="59">
      <c r="B59" s="22" t="n"/>
      <c r="C59" s="420" t="inlineStr">
        <is>
          <t>現状配置(予測)</t>
        </is>
      </c>
      <c r="D59" s="485" t="inlineStr">
        <is>
          <t>⑥18/1日、1.8/1人、3件/1人</t>
        </is>
      </c>
      <c r="E59" s="486" t="n"/>
      <c r="F59" s="486" t="n"/>
      <c r="G59" s="486" t="n"/>
      <c r="H59" s="486" t="n"/>
      <c r="I59" s="486" t="n"/>
      <c r="J59" s="466" t="n"/>
    </row>
    <row r="60">
      <c r="B60" s="420" t="inlineStr">
        <is>
          <t>西(神戸西・弥栄台)</t>
        </is>
      </c>
      <c r="C60" s="420" t="n"/>
      <c r="D60" s="485" t="inlineStr">
        <is>
          <t>⑦依頼書の見落とし(日付、入替、入出庫、場所）</t>
        </is>
      </c>
      <c r="E60" s="486" t="n"/>
      <c r="F60" s="486" t="n"/>
      <c r="G60" s="486" t="n"/>
      <c r="H60" s="486" t="n"/>
      <c r="I60" s="486" t="n"/>
      <c r="J60" s="466" t="n"/>
    </row>
    <row r="61">
      <c r="B61" s="420" t="inlineStr">
        <is>
          <t>真ん中(摩耶・中央)</t>
        </is>
      </c>
      <c r="C61" s="420" t="n"/>
      <c r="D61" s="485" t="inlineStr">
        <is>
          <t>⑧3ｔ車と2ｔ車への振り方(西と東に振り分ける)</t>
        </is>
      </c>
      <c r="E61" s="486" t="n"/>
      <c r="F61" s="486" t="n"/>
      <c r="G61" s="486" t="n"/>
      <c r="H61" s="486" t="n"/>
      <c r="I61" s="486" t="n"/>
      <c r="J61" s="466" t="n"/>
    </row>
    <row r="62">
      <c r="B62" s="420" t="inlineStr">
        <is>
          <t>東(尼崎・伊丹・西宮)</t>
        </is>
      </c>
      <c r="C62" s="420" t="n"/>
      <c r="D62" s="485" t="inlineStr">
        <is>
          <t>⑨</t>
        </is>
      </c>
      <c r="E62" s="486" t="n"/>
      <c r="F62" s="486" t="n"/>
      <c r="G62" s="486" t="n"/>
      <c r="H62" s="486" t="n"/>
      <c r="I62" s="486" t="n"/>
      <c r="J62" s="466" t="n"/>
    </row>
    <row r="63">
      <c r="B63" s="48" t="inlineStr">
        <is>
          <t>極東(港区・淀屋橋)</t>
        </is>
      </c>
      <c r="C63" s="420" t="n"/>
      <c r="D63" s="49" t="n"/>
      <c r="E63" s="49" t="n"/>
      <c r="F63" s="49" t="n"/>
      <c r="G63" s="49" t="n"/>
      <c r="H63" s="49" t="n"/>
      <c r="I63" s="49" t="n"/>
      <c r="J63" s="49" t="n"/>
    </row>
    <row r="64" ht="14.25" customHeight="1" s="462" thickBot="1"/>
    <row r="65">
      <c r="C65" s="473" t="inlineStr">
        <is>
          <t>合計額/380</t>
        </is>
      </c>
      <c r="D65" s="358">
        <f>SUM(G65)</f>
        <v/>
      </c>
      <c r="F65" s="360" t="inlineStr">
        <is>
          <t>売り上げ額</t>
        </is>
      </c>
      <c r="G65" s="362">
        <f>SUM(SUM(K4:K31))</f>
        <v/>
      </c>
      <c r="H65" s="465" t="n"/>
      <c r="I65" s="465" t="n"/>
      <c r="J65" s="467" t="n"/>
    </row>
    <row r="66" ht="14.25" customHeight="1" s="462" thickBot="1">
      <c r="C66" s="474" t="n"/>
      <c r="D66" s="475" t="n"/>
      <c r="F66" s="468" t="n"/>
      <c r="G66" s="476" t="n"/>
      <c r="H66" s="477" t="n"/>
      <c r="I66" s="477" t="n"/>
      <c r="J66" s="469" t="n"/>
    </row>
    <row r="67">
      <c r="C67" s="478" t="inlineStr">
        <is>
          <t>前日までの売上合計額</t>
        </is>
      </c>
      <c r="D67" s="479">
        <f>SUM('6　2'!D66:D67)</f>
        <v/>
      </c>
    </row>
    <row r="68" ht="14.25" customHeight="1" s="462" thickBot="1">
      <c r="C68" s="480" t="n"/>
      <c r="D68" s="480" t="n"/>
      <c r="F68" s="420" t="inlineStr">
        <is>
          <t>金井（55)</t>
        </is>
      </c>
      <c r="G68" s="345" t="n"/>
      <c r="H68" s="466" t="n"/>
      <c r="I68" s="130" t="n"/>
    </row>
    <row r="69" ht="14.25" customHeight="1" s="462" thickTop="1">
      <c r="D69" s="346">
        <f>D65+D67</f>
        <v/>
      </c>
      <c r="F69" s="420" t="inlineStr">
        <is>
          <t>粟津(55)</t>
        </is>
      </c>
      <c r="G69" s="340" t="n"/>
      <c r="H69" s="466" t="n"/>
      <c r="I69" s="131" t="n"/>
    </row>
    <row r="70">
      <c r="F70" s="420" t="inlineStr">
        <is>
          <t>砂川(50)</t>
        </is>
      </c>
      <c r="G70" s="340" t="n"/>
      <c r="H70" s="466" t="n"/>
      <c r="I70" s="131" t="n"/>
    </row>
    <row r="71">
      <c r="C71" s="2" t="inlineStr">
        <is>
          <t>高代</t>
        </is>
      </c>
      <c r="F71" s="420" t="inlineStr">
        <is>
          <t>前川(50)</t>
        </is>
      </c>
      <c r="G71" s="340" t="n"/>
      <c r="H71" s="466" t="n"/>
      <c r="I71" s="131" t="n"/>
    </row>
    <row r="72">
      <c r="C72" s="2" t="inlineStr">
        <is>
          <t>返還代</t>
        </is>
      </c>
      <c r="F72" s="420" t="inlineStr">
        <is>
          <t>佐藤(50)</t>
        </is>
      </c>
      <c r="G72" s="345" t="n"/>
      <c r="H72" s="466" t="n"/>
      <c r="I72" s="130" t="n"/>
    </row>
    <row r="73">
      <c r="C73" s="2" t="inlineStr">
        <is>
          <t>回収率</t>
        </is>
      </c>
      <c r="D73" s="50">
        <f>D72/D71</f>
        <v/>
      </c>
      <c r="F73" s="420" t="inlineStr">
        <is>
          <t>末次(55)</t>
        </is>
      </c>
      <c r="G73" s="340" t="n"/>
      <c r="H73" s="466" t="n"/>
      <c r="I73" s="131" t="n"/>
    </row>
    <row r="74">
      <c r="C74" s="2" t="inlineStr">
        <is>
          <t>費</t>
        </is>
      </c>
      <c r="D74" s="2">
        <f>D71-D72</f>
        <v/>
      </c>
      <c r="F74" s="420" t="inlineStr">
        <is>
          <t>筒井(75)</t>
        </is>
      </c>
      <c r="G74" s="340" t="n"/>
      <c r="H74" s="466" t="n"/>
      <c r="I74" s="131" t="n"/>
    </row>
    <row r="75">
      <c r="F75" s="420" t="inlineStr">
        <is>
          <t>山岸(40)</t>
        </is>
      </c>
      <c r="G75" s="340" t="n"/>
      <c r="H75" s="466" t="n"/>
      <c r="I75" s="131" t="n"/>
    </row>
    <row r="76" ht="17.25" customHeight="1" s="462">
      <c r="B76" s="71" t="n"/>
      <c r="F76" s="420" t="inlineStr">
        <is>
          <t>多苗(30)</t>
        </is>
      </c>
      <c r="G76" s="340" t="n"/>
      <c r="H76" s="466" t="n"/>
      <c r="I76" s="131" t="n"/>
      <c r="L76" s="2" t="inlineStr">
        <is>
          <t> </t>
        </is>
      </c>
    </row>
    <row r="77" ht="23.25" customHeight="1" s="462"/>
  </sheetData>
  <mergeCells count="55">
    <mergeCell ref="E50:F50"/>
    <mergeCell ref="D62:J62"/>
    <mergeCell ref="K36:K37"/>
    <mergeCell ref="Q25:R25"/>
    <mergeCell ref="Q3:R3"/>
    <mergeCell ref="D56:J56"/>
    <mergeCell ref="D58:J58"/>
    <mergeCell ref="D65:D66"/>
    <mergeCell ref="F65:F66"/>
    <mergeCell ref="Q28:R28"/>
    <mergeCell ref="E42:F42"/>
    <mergeCell ref="Q24:R24"/>
    <mergeCell ref="G71:H71"/>
    <mergeCell ref="D55:J55"/>
    <mergeCell ref="E48:F48"/>
    <mergeCell ref="G70:H70"/>
    <mergeCell ref="E39:F39"/>
    <mergeCell ref="E35:F35"/>
    <mergeCell ref="E51:F51"/>
    <mergeCell ref="B2:C2"/>
    <mergeCell ref="E38:F38"/>
    <mergeCell ref="D54:J54"/>
    <mergeCell ref="C65:C66"/>
    <mergeCell ref="D59:J59"/>
    <mergeCell ref="Q23:R23"/>
    <mergeCell ref="G65:J66"/>
    <mergeCell ref="D60:J60"/>
    <mergeCell ref="Q26:R26"/>
    <mergeCell ref="K39:K40"/>
    <mergeCell ref="E40:F40"/>
    <mergeCell ref="G69:H69"/>
    <mergeCell ref="Q4:R4"/>
    <mergeCell ref="Q31:R31"/>
    <mergeCell ref="G74:H74"/>
    <mergeCell ref="E34:F34"/>
    <mergeCell ref="C67:C68"/>
    <mergeCell ref="G68:H68"/>
    <mergeCell ref="H39:J40"/>
    <mergeCell ref="H34:J35"/>
    <mergeCell ref="D57:J57"/>
    <mergeCell ref="E36:F36"/>
    <mergeCell ref="Q9:R9"/>
    <mergeCell ref="Q27:R27"/>
    <mergeCell ref="H36:J37"/>
    <mergeCell ref="K34:K35"/>
    <mergeCell ref="D67:D68"/>
    <mergeCell ref="G73:H73"/>
    <mergeCell ref="D61:J61"/>
    <mergeCell ref="G76:H76"/>
    <mergeCell ref="E41:F41"/>
    <mergeCell ref="D69:D70"/>
    <mergeCell ref="E37:F37"/>
    <mergeCell ref="G75:H75"/>
    <mergeCell ref="E47:F47"/>
    <mergeCell ref="G72:H72"/>
  </mergeCells>
  <conditionalFormatting sqref="K36:K37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L3:L31">
    <cfRule type="cellIs" priority="3" operator="greaterThan" dxfId="0">
      <formula>30</formula>
    </cfRule>
  </conditionalFormatting>
  <conditionalFormatting sqref="D5:D39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/>
</worksheet>
</file>

<file path=xl/worksheets/sheet10.xml><?xml version="1.0" encoding="utf-8"?>
<worksheet xmlns="http://schemas.openxmlformats.org/spreadsheetml/2006/main">
  <sheetPr codeName="Sheet9">
    <tabColor rgb="FFFF0000"/>
    <outlinePr summaryBelow="1" summaryRight="1"/>
    <pageSetUpPr fitToPage="1"/>
  </sheetPr>
  <dimension ref="A1:R76"/>
  <sheetViews>
    <sheetView topLeftCell="A16" zoomScale="70" zoomScaleNormal="70" workbookViewId="0">
      <selection activeCell="K5" sqref="K5:K6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2" min="11" max="11"/>
    <col width="8.75" customWidth="1" style="2" min="12" max="16384"/>
  </cols>
  <sheetData>
    <row r="1"/>
    <row r="2" ht="15" customHeight="1" s="462" thickBot="1">
      <c r="B2" s="490" t="n">
        <v>46177</v>
      </c>
      <c r="C2" s="463" t="n"/>
      <c r="D2" s="2" t="inlineStr">
        <is>
          <t>NO.2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IF(B5="","",COUNTA($B$6:B6))</f>
        <v/>
      </c>
      <c r="B5" s="57" t="n"/>
      <c r="C5" s="441" t="n"/>
      <c r="D5" s="63" t="n"/>
      <c r="E5" s="441" t="n"/>
      <c r="F5" s="57" t="n"/>
      <c r="G5" s="207" t="n"/>
      <c r="H5" s="262" t="n"/>
      <c r="I5" s="319">
        <f>IFERROR(_xlfn.XLOOKUP(H5,案件・ドライバー一覧!$L$3:$L$17,案件・ドライバー一覧!$M$3:$M$17,""),"")</f>
        <v/>
      </c>
      <c r="J5" s="57" t="n"/>
      <c r="K5" s="73" t="n"/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IF(B6="","",COUNTA($B$6:B6))</f>
        <v/>
      </c>
      <c r="B6" s="57" t="n"/>
      <c r="C6" s="64" t="n"/>
      <c r="D6" s="63" t="n"/>
      <c r="E6" s="129" t="n"/>
      <c r="F6" s="57" t="n"/>
      <c r="G6" s="65" t="n"/>
      <c r="H6" s="262" t="n"/>
      <c r="I6" s="319">
        <f>IFERROR(_xlfn.XLOOKUP(H6,案件・ドライバー一覧!$L$3:$L$17,案件・ドライバー一覧!$M$3:$M$17,""),"")</f>
        <v/>
      </c>
      <c r="J6" s="57" t="n"/>
      <c r="K6" s="72" t="n"/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IF(B7="","",COUNTA($B$6:B7))</f>
        <v/>
      </c>
      <c r="B7" s="57" t="n"/>
      <c r="C7" s="63" t="n"/>
      <c r="D7" s="441" t="n"/>
      <c r="E7" s="441" t="n"/>
      <c r="F7" s="57" t="n"/>
      <c r="G7" s="65" t="n"/>
      <c r="H7" s="74" t="n"/>
      <c r="I7" s="74" t="n"/>
      <c r="J7" s="420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</row>
    <row r="8" ht="27" customHeight="1" s="462">
      <c r="A8" s="423">
        <f>IF(B8="","",COUNTA($B$6:B8))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IF(B9="","",COUNTA($B$6:B9))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IF(B10="","",COUNTA($B$6:B10))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IF(B11="","",COUNTA($B$6:B11))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IF(B12="","",COUNTA($B$6:B12))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IF(B13="","",COUNTA($B$6:B13))</f>
        <v/>
      </c>
      <c r="B13" s="57" t="n"/>
      <c r="C13" s="63" t="n"/>
      <c r="D13" s="441" t="n"/>
      <c r="E13" s="441" t="n"/>
      <c r="F13" s="57" t="n"/>
      <c r="G13" s="65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IF(B14="","",COUNTA($B$6:B14))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IF(B15="","",COUNTA($B$6:B15))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IF(B16="","",COUNTA($B$6:B16))</f>
        <v/>
      </c>
      <c r="B16" s="57" t="n"/>
      <c r="C16" s="64" t="n"/>
      <c r="D16" s="441" t="n"/>
      <c r="E16" s="63" t="n"/>
      <c r="F16" s="441" t="n"/>
      <c r="G16" s="59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IF(B17="","",COUNTA($B$6:B17))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IF(B18="","",COUNTA($B$6:B18))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IF(B19="","",COUNTA($B$6:B19))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IF(B20="","",COUNTA($B$6:B20))</f>
        <v/>
      </c>
      <c r="B20" s="57" t="n"/>
      <c r="C20" s="63" t="n"/>
      <c r="D20" s="441" t="n"/>
      <c r="E20" s="441" t="n"/>
      <c r="F20" s="57" t="n"/>
      <c r="G20" s="65" t="n"/>
      <c r="H20" s="74" t="n"/>
      <c r="I20" s="80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IF(B21="","",COUNTA($B$6:B21))</f>
        <v/>
      </c>
      <c r="B21" s="57" t="n"/>
      <c r="C21" s="63" t="n"/>
      <c r="D21" s="441" t="n"/>
      <c r="E21" s="441" t="n"/>
      <c r="F21" s="57" t="n"/>
      <c r="G21" s="65" t="n"/>
      <c r="H21" s="74" t="n"/>
      <c r="I21" s="80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  <c r="R21" s="449" t="n"/>
    </row>
    <row r="22" ht="27" customHeight="1" s="462">
      <c r="A22" s="423">
        <f>IF(B22="","",COUNTA($B$6:B22))</f>
        <v/>
      </c>
      <c r="B22" s="57" t="n"/>
      <c r="C22" s="63" t="n"/>
      <c r="D22" s="441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IF(B23="","",COUNTA($B$6:B23))</f>
        <v/>
      </c>
      <c r="B23" s="57" t="n"/>
      <c r="C23" s="62" t="n"/>
      <c r="D23" s="63" t="n"/>
      <c r="E23" s="441" t="n"/>
      <c r="F23" s="57" t="n"/>
      <c r="G23" s="66" t="n"/>
      <c r="H23" s="74" t="n"/>
      <c r="I23" s="80" t="n"/>
      <c r="J23" s="57" t="n"/>
      <c r="K23" s="73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" customHeight="1" s="462">
      <c r="A24" s="423">
        <f>IF(B24="","",COUNTA($B$6:B24))</f>
        <v/>
      </c>
      <c r="B24" s="57" t="n"/>
      <c r="C24" s="63" t="n"/>
      <c r="D24" s="64" t="n"/>
      <c r="E24" s="420" t="n"/>
      <c r="F24" s="57" t="n"/>
      <c r="G24" s="66" t="n"/>
      <c r="H24" s="74" t="n"/>
      <c r="I24" s="74" t="n"/>
      <c r="J24" s="420" t="n"/>
      <c r="K24" s="73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</row>
    <row r="25" ht="27" customHeight="1" s="462">
      <c r="A25" s="423">
        <f>IF(B25="","",COUNTA($B$6:B25))</f>
        <v/>
      </c>
      <c r="B25" s="57" t="n"/>
      <c r="C25" s="420" t="n"/>
      <c r="D25" s="63" t="n"/>
      <c r="E25" s="441" t="n"/>
      <c r="F25" s="57" t="n"/>
      <c r="G25" s="65" t="n"/>
      <c r="H25" s="74" t="n"/>
      <c r="I25" s="80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</row>
    <row r="26" ht="27" customHeight="1" s="462">
      <c r="A26" s="423">
        <f>IF(B26="","",COUNTA($B$6:B26))</f>
        <v/>
      </c>
      <c r="B26" s="57" t="n"/>
      <c r="C26" s="57" t="n"/>
      <c r="D26" s="441" t="n"/>
      <c r="E26" s="441" t="n"/>
      <c r="F26" s="57" t="n"/>
      <c r="G26" s="66" t="n"/>
      <c r="H26" s="74" t="n"/>
      <c r="I26" s="80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</row>
    <row r="27" ht="27" customHeight="1" s="462">
      <c r="A27" s="423">
        <f>IF(B27="","",COUNTA($B$6:B27))</f>
        <v/>
      </c>
      <c r="B27" s="441" t="n"/>
      <c r="C27" s="440" t="n"/>
      <c r="D27" s="441" t="n"/>
      <c r="E27" s="440" t="n"/>
      <c r="F27" s="57" t="n"/>
      <c r="G27" s="65" t="n"/>
      <c r="H27" s="74" t="n"/>
      <c r="I27" s="74" t="n"/>
      <c r="J27" s="420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</row>
    <row r="28" ht="27.75" customHeight="1" s="462">
      <c r="A28" s="423">
        <f>IF(B28="","",COUNTA($B$6:B28))</f>
        <v/>
      </c>
      <c r="B28" s="441" t="n"/>
      <c r="C28" s="63" t="n"/>
      <c r="D28" s="440" t="n"/>
      <c r="E28" s="441" t="n"/>
      <c r="F28" s="57" t="n"/>
      <c r="G28" s="59" t="n"/>
      <c r="H28" s="60" t="n"/>
      <c r="I28" s="60" t="n"/>
      <c r="J28" s="57" t="n"/>
      <c r="K28" s="73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</row>
    <row r="29" ht="27" customHeight="1" s="462">
      <c r="A29" s="423">
        <f>IF(B29="","",COUNTA($B$6:B29))</f>
        <v/>
      </c>
      <c r="B29" s="441" t="n"/>
      <c r="C29" s="63" t="n"/>
      <c r="D29" s="440" t="n"/>
      <c r="E29" s="441" t="n"/>
      <c r="F29" s="57" t="n"/>
      <c r="G29" s="59" t="n"/>
      <c r="H29" s="60" t="n"/>
      <c r="I29" s="60" t="n"/>
      <c r="J29" s="57" t="n"/>
      <c r="K29" s="73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  <c r="R29" s="449" t="n"/>
    </row>
    <row r="30" ht="27" customHeight="1" s="462">
      <c r="A30" s="423">
        <f>IF(B30="","",COUNTA($B$6:B30))</f>
        <v/>
      </c>
      <c r="B30" s="441" t="n"/>
      <c r="C30" s="63" t="n"/>
      <c r="D30" s="440" t="n"/>
      <c r="E30" s="441" t="n"/>
      <c r="F30" s="57" t="n"/>
      <c r="G30" s="59" t="n"/>
      <c r="H30" s="60" t="n"/>
      <c r="I30" s="60" t="n"/>
      <c r="J30" s="57" t="n"/>
      <c r="K30" s="73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M30" s="449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IF(B31="","",COUNTA($B$6:B31))</f>
        <v/>
      </c>
      <c r="B31" s="420" t="n"/>
      <c r="C31" s="420" t="n"/>
      <c r="D31" s="420" t="n"/>
      <c r="E31" s="420" t="n"/>
      <c r="F31" s="420" t="n"/>
      <c r="G31" s="69" t="n"/>
      <c r="H31" s="70" t="n"/>
      <c r="I31" s="70" t="n"/>
      <c r="J31" s="420" t="n"/>
      <c r="K31" s="2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  <c r="O31" s="449" t="n"/>
      <c r="P31" s="449" t="n"/>
      <c r="Q31" s="449" t="n"/>
    </row>
    <row r="32" ht="27" customHeight="1" s="462">
      <c r="B32" s="18" t="n"/>
      <c r="C32" s="18" t="n"/>
      <c r="D32" s="18" t="n"/>
      <c r="E32" s="18" t="n"/>
      <c r="F32" s="18" t="n"/>
      <c r="G32" s="19" t="n"/>
      <c r="H32" s="33" t="n"/>
      <c r="I32" s="18" t="n"/>
      <c r="J32" s="18" t="n"/>
      <c r="K32" s="18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3" ht="14.25" customHeight="1" s="462" thickBot="1">
      <c r="K33" s="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>
      <c r="B34" s="22" t="n"/>
      <c r="C34" s="25" t="n"/>
      <c r="D34" s="25" t="inlineStr">
        <is>
          <t>現在待機場所</t>
        </is>
      </c>
      <c r="E34" s="25" t="inlineStr">
        <is>
          <t>待機予定場所</t>
        </is>
      </c>
      <c r="F34" s="466" t="n"/>
      <c r="H34" s="375" t="inlineStr">
        <is>
          <t>目標距離</t>
        </is>
      </c>
      <c r="I34" s="465" t="n"/>
      <c r="J34" s="467" t="n"/>
      <c r="K34" s="377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5" ht="14.25" customHeight="1" s="462" thickBot="1">
      <c r="B35" s="26" t="inlineStr">
        <is>
          <t>2(255)</t>
        </is>
      </c>
      <c r="C35" s="21" t="inlineStr">
        <is>
          <t>山岸</t>
        </is>
      </c>
      <c r="D35" s="34" t="n"/>
      <c r="E35" s="34" t="n"/>
      <c r="F35" s="466" t="n"/>
      <c r="H35" s="468" t="n"/>
      <c r="I35" s="477" t="n"/>
      <c r="J35" s="469" t="n"/>
      <c r="K35" s="470" t="n"/>
    </row>
    <row r="36">
      <c r="B36" s="26" t="inlineStr">
        <is>
          <t>8(254)</t>
        </is>
      </c>
      <c r="C36" s="21" t="inlineStr">
        <is>
          <t>砂川</t>
        </is>
      </c>
      <c r="D36" s="35" t="n"/>
      <c r="E36" s="35" t="n"/>
      <c r="F36" s="466" t="n"/>
      <c r="H36" s="368" t="inlineStr">
        <is>
          <t>残距離</t>
        </is>
      </c>
      <c r="J36" s="471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4.25" customHeight="1" s="462" thickBot="1">
      <c r="B37" s="26" t="inlineStr">
        <is>
          <t>9(256)</t>
        </is>
      </c>
      <c r="C37" s="21" t="inlineStr">
        <is>
          <t>前川</t>
        </is>
      </c>
      <c r="D37" s="35" t="n"/>
      <c r="E37" s="35" t="n"/>
      <c r="F37" s="466" t="n"/>
      <c r="H37" s="468" t="n"/>
      <c r="I37" s="477" t="n"/>
      <c r="J37" s="469" t="n"/>
      <c r="K37" s="472" t="n"/>
    </row>
    <row r="38" ht="14.25" customHeight="1" s="462" thickBot="1">
      <c r="B38" s="26" t="inlineStr">
        <is>
          <t>10(257)</t>
        </is>
      </c>
      <c r="C38" s="35" t="n"/>
      <c r="D38" s="35" t="n"/>
      <c r="E38" s="35" t="n"/>
      <c r="F38" s="466" t="n"/>
      <c r="K38" s="2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>
      <c r="B39" s="26" t="inlineStr">
        <is>
          <t>11(258)</t>
        </is>
      </c>
      <c r="C39" s="21" t="inlineStr">
        <is>
          <t>郡司</t>
        </is>
      </c>
      <c r="D39" s="35" t="n"/>
      <c r="E39" s="35" t="n"/>
      <c r="F39" s="466" t="n"/>
      <c r="H39" s="350" t="inlineStr">
        <is>
          <t>依頼件数</t>
        </is>
      </c>
      <c r="I39" s="465" t="n"/>
      <c r="J39" s="467" t="n"/>
      <c r="K39" s="354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14.25" customHeight="1" s="462" thickBot="1">
      <c r="B40" s="26" t="inlineStr">
        <is>
          <t>12(736)</t>
        </is>
      </c>
      <c r="C40" s="21" t="n"/>
      <c r="D40" s="35" t="n"/>
      <c r="E40" s="35" t="n"/>
      <c r="F40" s="466" t="n"/>
      <c r="H40" s="468" t="n"/>
      <c r="I40" s="477" t="n"/>
      <c r="J40" s="469" t="n"/>
      <c r="K40" s="472" t="n"/>
    </row>
    <row r="41" ht="17.25" customHeight="1" s="462">
      <c r="B41" s="26" t="inlineStr">
        <is>
          <t>13(737)</t>
        </is>
      </c>
      <c r="C41" s="21" t="n"/>
      <c r="D41" s="35" t="n"/>
      <c r="E41" s="35" t="n"/>
      <c r="F41" s="466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2" ht="16.5" customHeight="1" s="462">
      <c r="B42" s="40" t="inlineStr">
        <is>
          <t>14(738)</t>
        </is>
      </c>
      <c r="C42" s="21" t="inlineStr">
        <is>
          <t>辻井</t>
        </is>
      </c>
      <c r="D42" s="35" t="n"/>
      <c r="E42" s="35" t="n"/>
      <c r="F42" s="466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3" ht="16.5" customHeight="1" s="462">
      <c r="B43" s="41" t="n"/>
      <c r="C43" s="42" t="n"/>
      <c r="D43" s="43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4" ht="8.25" customHeight="1" s="462">
      <c r="B44" s="45" t="n">
        <v>7290</v>
      </c>
      <c r="C44" s="21" t="inlineStr">
        <is>
          <t>佐藤</t>
        </is>
      </c>
      <c r="D44" s="35" t="n"/>
      <c r="E44" s="348" t="n"/>
      <c r="F44" s="34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5" ht="17.25" customHeight="1" s="462">
      <c r="B45" s="45" t="n">
        <v>7291</v>
      </c>
      <c r="C45" s="21" t="inlineStr">
        <is>
          <t>末次</t>
        </is>
      </c>
      <c r="D45" s="35" t="n"/>
      <c r="E45" s="348" t="n"/>
      <c r="F45" s="349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7.25" customHeight="1" s="462">
      <c r="B46" s="41" t="n"/>
      <c r="C46" s="42" t="n"/>
      <c r="D46" s="44" t="n"/>
      <c r="E46" s="44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 ht="9" customHeight="1" s="462">
      <c r="B47" s="45" t="n">
        <v>333</v>
      </c>
      <c r="C47" s="21" t="inlineStr">
        <is>
          <t>金井/奥田</t>
        </is>
      </c>
      <c r="D47" s="35" t="n"/>
      <c r="E47" s="484" t="n"/>
      <c r="F47" s="469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6.5" customHeight="1" s="462">
      <c r="B48" s="46" t="n">
        <v>666</v>
      </c>
      <c r="C48" s="21" t="inlineStr">
        <is>
          <t>徳留</t>
        </is>
      </c>
      <c r="D48" s="35" t="n"/>
      <c r="E48" s="35" t="n"/>
      <c r="F48" s="466" t="n"/>
      <c r="H48" s="38" t="n"/>
      <c r="I48" s="38" t="n"/>
      <c r="J48" s="38" t="n"/>
      <c r="K48" s="39" t="n"/>
    </row>
    <row r="49" ht="16.5" customHeight="1" s="462">
      <c r="B49" s="46" t="n">
        <v>777</v>
      </c>
      <c r="C49" s="21" t="n"/>
      <c r="D49" s="35" t="n"/>
      <c r="E49" s="348" t="n"/>
      <c r="F49" s="349" t="n"/>
      <c r="H49" s="38" t="n"/>
      <c r="I49" s="38" t="n"/>
      <c r="J49" s="38" t="n"/>
      <c r="K49" s="39" t="n"/>
    </row>
    <row r="50" ht="16.5" customHeight="1" s="462">
      <c r="B50" s="47" t="n">
        <v>330</v>
      </c>
      <c r="C50" s="21" t="n"/>
      <c r="D50" s="35" t="n"/>
      <c r="E50" s="35" t="n"/>
      <c r="F50" s="466" t="n"/>
      <c r="H50" s="38" t="n"/>
      <c r="I50" s="38" t="n"/>
      <c r="J50" s="38" t="n"/>
      <c r="K50" s="39" t="n"/>
    </row>
    <row r="51" ht="16.5" customHeight="1" s="462">
      <c r="B51" s="47" t="n">
        <v>990</v>
      </c>
      <c r="C51" s="21" t="inlineStr">
        <is>
          <t>山原</t>
        </is>
      </c>
      <c r="D51" s="35" t="n"/>
      <c r="E51" s="35" t="n"/>
      <c r="F51" s="466" t="n"/>
      <c r="H51" s="38" t="n"/>
      <c r="I51" s="38" t="n"/>
      <c r="J51" s="38" t="n"/>
      <c r="K51" s="39" t="n"/>
    </row>
    <row r="52" ht="16.5" customHeight="1" s="462"/>
    <row r="53">
      <c r="C53" s="449" t="inlineStr">
        <is>
          <t>出発→到着</t>
        </is>
      </c>
      <c r="D53" s="420" t="inlineStr">
        <is>
          <t>備考</t>
        </is>
      </c>
    </row>
    <row r="54">
      <c r="B54" s="27" t="inlineStr">
        <is>
          <t>①</t>
        </is>
      </c>
      <c r="C54" s="449" t="inlineStr">
        <is>
          <t>東→西</t>
        </is>
      </c>
      <c r="D54" s="485" t="inlineStr">
        <is>
          <t>①Aチーム優先</t>
        </is>
      </c>
      <c r="E54" s="486" t="n"/>
      <c r="F54" s="486" t="n"/>
      <c r="G54" s="486" t="n"/>
      <c r="H54" s="486" t="n"/>
      <c r="I54" s="486" t="n"/>
      <c r="J54" s="466" t="n"/>
    </row>
    <row r="55">
      <c r="B55" s="27" t="inlineStr">
        <is>
          <t>②</t>
        </is>
      </c>
      <c r="C55" s="449" t="inlineStr">
        <is>
          <t>東→東</t>
        </is>
      </c>
      <c r="D55" s="485" t="inlineStr">
        <is>
          <t>②急ぎ案件の場合、道路状況も伝えてあげる。</t>
        </is>
      </c>
      <c r="E55" s="486" t="n"/>
      <c r="F55" s="486" t="n"/>
      <c r="G55" s="486" t="n"/>
      <c r="H55" s="486" t="n"/>
      <c r="I55" s="486" t="n"/>
      <c r="J55" s="466" t="n"/>
    </row>
    <row r="56">
      <c r="B56" s="27" t="inlineStr">
        <is>
          <t>③</t>
        </is>
      </c>
      <c r="C56" s="449" t="inlineStr">
        <is>
          <t>西→東</t>
        </is>
      </c>
      <c r="D56" s="485" t="inlineStr">
        <is>
          <t>③各ドライバーの位置からの帰社のタイミング・夕方の配置</t>
        </is>
      </c>
      <c r="E56" s="486" t="n"/>
      <c r="F56" s="486" t="n"/>
      <c r="G56" s="486" t="n"/>
      <c r="H56" s="486" t="n"/>
      <c r="I56" s="486" t="n"/>
      <c r="J56" s="466" t="n"/>
    </row>
    <row r="57">
      <c r="B57" s="27" t="inlineStr">
        <is>
          <t>④</t>
        </is>
      </c>
      <c r="C57" s="449" t="inlineStr">
        <is>
          <t>西→西</t>
        </is>
      </c>
      <c r="D57" s="485" t="inlineStr">
        <is>
          <t>④依頼を受ける際の、希望時間と現状の位置。行けるか行けないかの判断をしっかりと。</t>
        </is>
      </c>
      <c r="E57" s="486" t="n"/>
      <c r="F57" s="486" t="n"/>
      <c r="G57" s="486" t="n"/>
      <c r="H57" s="486" t="n"/>
      <c r="I57" s="486" t="n"/>
      <c r="J57" s="466" t="n"/>
    </row>
    <row r="58">
      <c r="D58" s="485" t="inlineStr">
        <is>
          <t>⑤軽に乗るか乗らないかの判断に気を付ける。</t>
        </is>
      </c>
      <c r="E58" s="486" t="n"/>
      <c r="F58" s="486" t="n"/>
      <c r="G58" s="486" t="n"/>
      <c r="H58" s="486" t="n"/>
      <c r="I58" s="486" t="n"/>
      <c r="J58" s="466" t="n"/>
    </row>
    <row r="59">
      <c r="B59" s="22" t="n"/>
      <c r="C59" s="420" t="inlineStr">
        <is>
          <t>現状配置(予測)</t>
        </is>
      </c>
      <c r="D59" s="485" t="inlineStr">
        <is>
          <t>⑥18/1日、1.8/1人、3件/1人</t>
        </is>
      </c>
      <c r="E59" s="486" t="n"/>
      <c r="F59" s="486" t="n"/>
      <c r="G59" s="486" t="n"/>
      <c r="H59" s="486" t="n"/>
      <c r="I59" s="486" t="n"/>
      <c r="J59" s="466" t="n"/>
    </row>
    <row r="60">
      <c r="B60" s="420" t="inlineStr">
        <is>
          <t>西(神戸西・弥栄台)</t>
        </is>
      </c>
      <c r="C60" s="420" t="n"/>
      <c r="D60" s="485" t="inlineStr">
        <is>
          <t>⑦依頼書の見落とし(日付、入替、入出庫、場所）</t>
        </is>
      </c>
      <c r="E60" s="486" t="n"/>
      <c r="F60" s="486" t="n"/>
      <c r="G60" s="486" t="n"/>
      <c r="H60" s="486" t="n"/>
      <c r="I60" s="486" t="n"/>
      <c r="J60" s="466" t="n"/>
    </row>
    <row r="61">
      <c r="B61" s="420" t="inlineStr">
        <is>
          <t>真ん中(摩耶・中央)</t>
        </is>
      </c>
      <c r="C61" s="420" t="n"/>
      <c r="D61" s="485" t="inlineStr">
        <is>
          <t>⑧3ｔ車と2ｔ車への振り方(西と東に振り分ける)</t>
        </is>
      </c>
      <c r="E61" s="486" t="n"/>
      <c r="F61" s="486" t="n"/>
      <c r="G61" s="486" t="n"/>
      <c r="H61" s="486" t="n"/>
      <c r="I61" s="486" t="n"/>
      <c r="J61" s="466" t="n"/>
    </row>
    <row r="62">
      <c r="B62" s="420" t="inlineStr">
        <is>
          <t>東(尼崎・伊丹・西宮)</t>
        </is>
      </c>
      <c r="C62" s="420" t="n"/>
      <c r="D62" s="485" t="inlineStr">
        <is>
          <t>⑨</t>
        </is>
      </c>
      <c r="E62" s="486" t="n"/>
      <c r="F62" s="486" t="n"/>
      <c r="G62" s="486" t="n"/>
      <c r="H62" s="486" t="n"/>
      <c r="I62" s="486" t="n"/>
      <c r="J62" s="466" t="n"/>
    </row>
    <row r="63">
      <c r="B63" s="48" t="inlineStr">
        <is>
          <t>極東(港区・淀屋橋)</t>
        </is>
      </c>
      <c r="C63" s="420" t="n"/>
      <c r="D63" s="49" t="n"/>
      <c r="E63" s="49" t="n"/>
      <c r="F63" s="49" t="n"/>
      <c r="G63" s="49" t="n"/>
      <c r="H63" s="49" t="n"/>
      <c r="I63" s="49" t="n"/>
      <c r="J63" s="49" t="n"/>
    </row>
    <row r="64" ht="14.25" customHeight="1" s="462" thickBot="1"/>
    <row r="65">
      <c r="C65" s="473" t="inlineStr">
        <is>
          <t>合計額/380</t>
        </is>
      </c>
      <c r="D65" s="358">
        <f>SUM(G65)</f>
        <v/>
      </c>
      <c r="F65" s="360" t="inlineStr">
        <is>
          <t>売り上げ額</t>
        </is>
      </c>
      <c r="G65" s="362">
        <f>SUM(SUM(K4:K31))</f>
        <v/>
      </c>
      <c r="H65" s="465" t="n"/>
      <c r="I65" s="465" t="n"/>
      <c r="J65" s="467" t="n"/>
    </row>
    <row r="66" ht="14.25" customHeight="1" s="462" thickBot="1">
      <c r="C66" s="474" t="n"/>
      <c r="D66" s="475" t="n"/>
      <c r="F66" s="468" t="n"/>
      <c r="G66" s="476" t="n"/>
      <c r="H66" s="477" t="n"/>
      <c r="I66" s="477" t="n"/>
      <c r="J66" s="469" t="n"/>
    </row>
    <row r="67">
      <c r="C67" s="478" t="inlineStr">
        <is>
          <t>前日までの売上合計額</t>
        </is>
      </c>
      <c r="D67" s="479">
        <f>SUM('6  3'!D69:D70)</f>
        <v/>
      </c>
    </row>
    <row r="68" ht="14.25" customHeight="1" s="462" thickBot="1">
      <c r="C68" s="480" t="n"/>
      <c r="D68" s="480" t="n"/>
      <c r="F68" s="420" t="inlineStr">
        <is>
          <t>金井（55)</t>
        </is>
      </c>
      <c r="G68" s="345" t="n"/>
      <c r="H68" s="466" t="n"/>
      <c r="I68" s="130" t="n"/>
    </row>
    <row r="69" ht="14.25" customHeight="1" s="462" thickTop="1">
      <c r="D69" s="346">
        <f>D65+D67</f>
        <v/>
      </c>
      <c r="F69" s="420" t="inlineStr">
        <is>
          <t>粟津(55)</t>
        </is>
      </c>
      <c r="G69" s="340" t="n"/>
      <c r="H69" s="466" t="n"/>
      <c r="I69" s="131" t="n"/>
    </row>
    <row r="70">
      <c r="F70" s="420" t="inlineStr">
        <is>
          <t>砂川(50)</t>
        </is>
      </c>
      <c r="G70" s="340" t="n"/>
      <c r="H70" s="466" t="n"/>
      <c r="I70" s="131" t="n"/>
    </row>
    <row r="71">
      <c r="C71" s="2" t="inlineStr">
        <is>
          <t>高代</t>
        </is>
      </c>
      <c r="F71" s="420" t="inlineStr">
        <is>
          <t>前川(50)</t>
        </is>
      </c>
      <c r="G71" s="340" t="n"/>
      <c r="H71" s="466" t="n"/>
      <c r="I71" s="131" t="n"/>
    </row>
    <row r="72">
      <c r="C72" s="2" t="inlineStr">
        <is>
          <t>返還代</t>
        </is>
      </c>
      <c r="F72" s="420" t="inlineStr">
        <is>
          <t>佐藤(50)</t>
        </is>
      </c>
      <c r="G72" s="345" t="n"/>
      <c r="H72" s="466" t="n"/>
      <c r="I72" s="130" t="n"/>
    </row>
    <row r="73">
      <c r="C73" s="2" t="inlineStr">
        <is>
          <t>回収率</t>
        </is>
      </c>
      <c r="D73" s="50">
        <f>D72/D71</f>
        <v/>
      </c>
      <c r="F73" s="420" t="inlineStr">
        <is>
          <t>末次(55)</t>
        </is>
      </c>
      <c r="G73" s="340" t="n"/>
      <c r="H73" s="466" t="n"/>
      <c r="I73" s="131" t="n"/>
    </row>
    <row r="74">
      <c r="C74" s="2" t="inlineStr">
        <is>
          <t>費</t>
        </is>
      </c>
      <c r="D74" s="2">
        <f>D71-D72</f>
        <v/>
      </c>
      <c r="F74" s="420" t="inlineStr">
        <is>
          <t>筒井(75)</t>
        </is>
      </c>
      <c r="G74" s="340" t="n"/>
      <c r="H74" s="466" t="n"/>
      <c r="I74" s="131" t="n"/>
    </row>
    <row r="75">
      <c r="F75" s="420" t="inlineStr">
        <is>
          <t>山岸(40)</t>
        </is>
      </c>
      <c r="G75" s="340" t="n"/>
      <c r="H75" s="466" t="n"/>
      <c r="I75" s="131" t="n"/>
    </row>
    <row r="76" ht="17.25" customHeight="1" s="462">
      <c r="B76" s="71" t="n"/>
      <c r="F76" s="420" t="inlineStr">
        <is>
          <t>多苗(30)</t>
        </is>
      </c>
      <c r="G76" s="340" t="n"/>
      <c r="H76" s="466" t="n"/>
      <c r="I76" s="131" t="n"/>
      <c r="L76" s="2" t="inlineStr">
        <is>
          <t> </t>
        </is>
      </c>
    </row>
    <row r="77" ht="23.25" customHeight="1" s="462"/>
  </sheetData>
  <mergeCells count="56">
    <mergeCell ref="E50:F50"/>
    <mergeCell ref="K36:K37"/>
    <mergeCell ref="Q7:R7"/>
    <mergeCell ref="Q25:R25"/>
    <mergeCell ref="Q3:R3"/>
    <mergeCell ref="D56:J56"/>
    <mergeCell ref="D58:J58"/>
    <mergeCell ref="D62:J62"/>
    <mergeCell ref="D65:D66"/>
    <mergeCell ref="F65:F66"/>
    <mergeCell ref="Q28:R28"/>
    <mergeCell ref="E42:F42"/>
    <mergeCell ref="Q24:R24"/>
    <mergeCell ref="G71:H71"/>
    <mergeCell ref="D55:J55"/>
    <mergeCell ref="E48:F48"/>
    <mergeCell ref="G70:H70"/>
    <mergeCell ref="E39:F39"/>
    <mergeCell ref="E35:F35"/>
    <mergeCell ref="E51:F51"/>
    <mergeCell ref="B2:C2"/>
    <mergeCell ref="D54:J54"/>
    <mergeCell ref="E38:F38"/>
    <mergeCell ref="C65:C66"/>
    <mergeCell ref="D59:J59"/>
    <mergeCell ref="Q5:R5"/>
    <mergeCell ref="Q23:R23"/>
    <mergeCell ref="G65:J66"/>
    <mergeCell ref="D60:J60"/>
    <mergeCell ref="Q26:R26"/>
    <mergeCell ref="K39:K40"/>
    <mergeCell ref="E40:F40"/>
    <mergeCell ref="G69:H69"/>
    <mergeCell ref="Q4:R4"/>
    <mergeCell ref="Q31:R31"/>
    <mergeCell ref="G74:H74"/>
    <mergeCell ref="E34:F34"/>
    <mergeCell ref="C67:C68"/>
    <mergeCell ref="G68:H68"/>
    <mergeCell ref="H39:J40"/>
    <mergeCell ref="H34:J35"/>
    <mergeCell ref="D57:J57"/>
    <mergeCell ref="E36:F36"/>
    <mergeCell ref="Q27:R27"/>
    <mergeCell ref="H36:J37"/>
    <mergeCell ref="K34:K35"/>
    <mergeCell ref="D67:D68"/>
    <mergeCell ref="G73:H73"/>
    <mergeCell ref="D61:J61"/>
    <mergeCell ref="G76:H76"/>
    <mergeCell ref="E41:F41"/>
    <mergeCell ref="D69:D70"/>
    <mergeCell ref="E37:F37"/>
    <mergeCell ref="G75:H75"/>
    <mergeCell ref="E47:F47"/>
    <mergeCell ref="G72:H72"/>
  </mergeCells>
  <conditionalFormatting sqref="K36:K37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L3:L31">
    <cfRule type="cellIs" priority="3" operator="greaterThan" dxfId="0">
      <formula>30</formula>
    </cfRule>
  </conditionalFormatting>
  <conditionalFormatting sqref="D5:D39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90"/>
</worksheet>
</file>

<file path=xl/worksheets/sheet11.xml><?xml version="1.0" encoding="utf-8"?>
<worksheet xmlns="http://schemas.openxmlformats.org/spreadsheetml/2006/main">
  <sheetPr codeName="Sheet10">
    <tabColor rgb="FFFF0000"/>
    <outlinePr summaryBelow="1" summaryRight="1"/>
    <pageSetUpPr/>
  </sheetPr>
  <dimension ref="A1:R76"/>
  <sheetViews>
    <sheetView zoomScale="70" zoomScaleNormal="70" workbookViewId="0">
      <selection activeCell="K65" sqref="K65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2" min="11" max="11"/>
    <col width="8.75" customWidth="1" style="2" min="12" max="16384"/>
  </cols>
  <sheetData>
    <row r="1"/>
    <row r="2" ht="15" customHeight="1" s="462" thickBot="1">
      <c r="B2" s="490" t="n">
        <v>46178</v>
      </c>
      <c r="C2" s="463" t="n"/>
      <c r="D2" s="2" t="inlineStr">
        <is>
          <t>NO.2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4" t="n"/>
      <c r="D5" s="63" t="n"/>
      <c r="E5" s="441" t="n"/>
      <c r="F5" s="57" t="n"/>
      <c r="G5" s="59" t="n"/>
      <c r="H5" s="74" t="n"/>
      <c r="I5" s="319">
        <f>IFERROR(_xlfn.XLOOKUP(H5,案件・ドライバー一覧!$L$3:$L$17,案件・ドライバー一覧!$M$3:$M$17,""),"")</f>
        <v/>
      </c>
      <c r="J5" s="57" t="n"/>
      <c r="K5" s="72" t="n"/>
      <c r="L5" s="61" t="n"/>
      <c r="M5" s="449" t="n"/>
      <c r="N5" s="449" t="n"/>
      <c r="O5" s="449" t="n"/>
      <c r="P5" s="449" t="n"/>
      <c r="Q5" s="449" t="n"/>
      <c r="R5" s="449" t="n"/>
    </row>
    <row r="6" ht="27" customHeight="1" s="462">
      <c r="A6" s="423">
        <f>IF(B6="","",COUNTA($B$5:B6))</f>
        <v/>
      </c>
      <c r="B6" s="57" t="n"/>
      <c r="C6" s="441" t="n"/>
      <c r="D6" s="63" t="n"/>
      <c r="E6" s="441" t="n"/>
      <c r="F6" s="57" t="n"/>
      <c r="G6" s="68" t="n"/>
      <c r="H6" s="74" t="n"/>
      <c r="I6" s="80" t="n"/>
      <c r="J6" s="57" t="n"/>
      <c r="K6" s="73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74" t="n"/>
      <c r="J7" s="420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4" t="n"/>
      <c r="D16" s="441" t="n"/>
      <c r="E16" s="63" t="n"/>
      <c r="F16" s="441" t="n"/>
      <c r="G16" s="59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3" t="n"/>
      <c r="D20" s="441" t="n"/>
      <c r="E20" s="441" t="n"/>
      <c r="F20" s="57" t="n"/>
      <c r="G20" s="65" t="n"/>
      <c r="H20" s="74" t="n"/>
      <c r="I20" s="80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63" t="n"/>
      <c r="D21" s="441" t="n"/>
      <c r="E21" s="441" t="n"/>
      <c r="F21" s="57" t="n"/>
      <c r="G21" s="65" t="n"/>
      <c r="H21" s="74" t="n"/>
      <c r="I21" s="80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  <c r="R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2" t="n"/>
      <c r="D23" s="63" t="n"/>
      <c r="E23" s="441" t="n"/>
      <c r="F23" s="57" t="n"/>
      <c r="G23" s="66" t="n"/>
      <c r="H23" s="74" t="n"/>
      <c r="I23" s="80" t="n"/>
      <c r="J23" s="57" t="n"/>
      <c r="K23" s="73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57" t="n"/>
      <c r="C24" s="63" t="n"/>
      <c r="D24" s="64" t="n"/>
      <c r="E24" s="420" t="n"/>
      <c r="F24" s="57" t="n"/>
      <c r="G24" s="66" t="n"/>
      <c r="H24" s="74" t="n"/>
      <c r="I24" s="74" t="n"/>
      <c r="J24" s="420" t="n"/>
      <c r="K24" s="73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57" t="n"/>
      <c r="C25" s="420" t="n"/>
      <c r="D25" s="63" t="n"/>
      <c r="E25" s="441" t="n"/>
      <c r="F25" s="57" t="n"/>
      <c r="G25" s="65" t="n"/>
      <c r="H25" s="74" t="n"/>
      <c r="I25" s="80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57" t="n"/>
      <c r="C26" s="57" t="n"/>
      <c r="D26" s="441" t="n"/>
      <c r="E26" s="441" t="n"/>
      <c r="F26" s="57" t="n"/>
      <c r="G26" s="66" t="n"/>
      <c r="H26" s="74" t="n"/>
      <c r="I26" s="80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</row>
    <row r="27" ht="27" customHeight="1" s="462">
      <c r="A27" s="423">
        <f>IF(B27="","",COUNTA($B$5:B27))</f>
        <v/>
      </c>
      <c r="B27" s="441" t="n"/>
      <c r="C27" s="440" t="n"/>
      <c r="D27" s="441" t="n"/>
      <c r="E27" s="440" t="n"/>
      <c r="F27" s="57" t="n"/>
      <c r="G27" s="65" t="n"/>
      <c r="H27" s="74" t="n"/>
      <c r="I27" s="74" t="n"/>
      <c r="J27" s="420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</row>
    <row r="28" ht="27.75" customHeight="1" s="462">
      <c r="A28" s="423">
        <f>IF(B28="","",COUNTA($B$5:B28))</f>
        <v/>
      </c>
      <c r="B28" s="441" t="n"/>
      <c r="C28" s="63" t="n"/>
      <c r="D28" s="440" t="n"/>
      <c r="E28" s="441" t="n"/>
      <c r="F28" s="57" t="n"/>
      <c r="G28" s="59" t="n"/>
      <c r="H28" s="60" t="n"/>
      <c r="I28" s="60" t="n"/>
      <c r="J28" s="57" t="n"/>
      <c r="K28" s="73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</row>
    <row r="29" ht="27" customHeight="1" s="462">
      <c r="A29" s="423">
        <f>IF(B29="","",COUNTA($B$5:B29))</f>
        <v/>
      </c>
      <c r="B29" s="441" t="n"/>
      <c r="C29" s="63" t="n"/>
      <c r="D29" s="440" t="n"/>
      <c r="E29" s="441" t="n"/>
      <c r="F29" s="57" t="n"/>
      <c r="G29" s="59" t="n"/>
      <c r="H29" s="60" t="n"/>
      <c r="I29" s="60" t="n"/>
      <c r="J29" s="57" t="n"/>
      <c r="K29" s="73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  <c r="R29" s="449" t="n"/>
    </row>
    <row r="30" ht="27" customHeight="1" s="462">
      <c r="A30" s="423">
        <f>IF(B30="","",COUNTA($B$5:B30))</f>
        <v/>
      </c>
      <c r="B30" s="441" t="n"/>
      <c r="C30" s="63" t="n"/>
      <c r="D30" s="440" t="n"/>
      <c r="E30" s="441" t="n"/>
      <c r="F30" s="57" t="n"/>
      <c r="G30" s="59" t="n"/>
      <c r="H30" s="60" t="n"/>
      <c r="I30" s="60" t="n"/>
      <c r="J30" s="57" t="n"/>
      <c r="K30" s="73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M30" s="449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IF(B31="","",COUNTA($B$5:B31))</f>
        <v/>
      </c>
      <c r="B31" s="420" t="n"/>
      <c r="C31" s="420" t="n"/>
      <c r="D31" s="420" t="n"/>
      <c r="E31" s="420" t="n"/>
      <c r="F31" s="420" t="n"/>
      <c r="G31" s="69" t="n"/>
      <c r="H31" s="70" t="n"/>
      <c r="I31" s="70" t="n"/>
      <c r="J31" s="420" t="n"/>
      <c r="K31" s="2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  <c r="O31" s="449" t="n"/>
      <c r="P31" s="449" t="n"/>
      <c r="Q31" s="449" t="n"/>
    </row>
    <row r="32" ht="27" customHeight="1" s="462">
      <c r="B32" s="18" t="n"/>
      <c r="C32" s="18" t="n"/>
      <c r="D32" s="18" t="n"/>
      <c r="E32" s="18" t="n"/>
      <c r="F32" s="18" t="n"/>
      <c r="G32" s="19" t="n"/>
      <c r="H32" s="33" t="n"/>
      <c r="I32" s="18" t="n"/>
      <c r="J32" s="18" t="n"/>
      <c r="K32" s="18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3" ht="14.25" customHeight="1" s="462" thickBot="1">
      <c r="K33" s="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>
      <c r="B34" s="22" t="n"/>
      <c r="C34" s="25" t="n"/>
      <c r="D34" s="25" t="inlineStr">
        <is>
          <t>現在待機場所</t>
        </is>
      </c>
      <c r="E34" s="25" t="inlineStr">
        <is>
          <t>待機予定場所</t>
        </is>
      </c>
      <c r="F34" s="466" t="n"/>
      <c r="H34" s="375" t="inlineStr">
        <is>
          <t>目標距離</t>
        </is>
      </c>
      <c r="I34" s="465" t="n"/>
      <c r="J34" s="467" t="n"/>
      <c r="K34" s="377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5" ht="14.25" customHeight="1" s="462" thickBot="1">
      <c r="B35" s="26" t="inlineStr">
        <is>
          <t>2(255)</t>
        </is>
      </c>
      <c r="C35" s="21" t="inlineStr">
        <is>
          <t>山岸</t>
        </is>
      </c>
      <c r="D35" s="34" t="n"/>
      <c r="E35" s="34" t="n"/>
      <c r="F35" s="466" t="n"/>
      <c r="H35" s="468" t="n"/>
      <c r="I35" s="477" t="n"/>
      <c r="J35" s="469" t="n"/>
      <c r="K35" s="470" t="n"/>
    </row>
    <row r="36">
      <c r="B36" s="26" t="inlineStr">
        <is>
          <t>8(254)</t>
        </is>
      </c>
      <c r="C36" s="21" t="inlineStr">
        <is>
          <t>砂川</t>
        </is>
      </c>
      <c r="D36" s="35" t="n"/>
      <c r="E36" s="35" t="n"/>
      <c r="F36" s="466" t="n"/>
      <c r="H36" s="368" t="inlineStr">
        <is>
          <t>残距離</t>
        </is>
      </c>
      <c r="J36" s="471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4.25" customHeight="1" s="462" thickBot="1">
      <c r="B37" s="26" t="inlineStr">
        <is>
          <t>9(256)</t>
        </is>
      </c>
      <c r="C37" s="21" t="inlineStr">
        <is>
          <t>前川</t>
        </is>
      </c>
      <c r="D37" s="35" t="n"/>
      <c r="E37" s="35" t="n"/>
      <c r="F37" s="466" t="n"/>
      <c r="H37" s="468" t="n"/>
      <c r="I37" s="477" t="n"/>
      <c r="J37" s="469" t="n"/>
      <c r="K37" s="472" t="n"/>
    </row>
    <row r="38" ht="14.25" customHeight="1" s="462" thickBot="1">
      <c r="B38" s="26" t="inlineStr">
        <is>
          <t>10(257)</t>
        </is>
      </c>
      <c r="C38" s="35" t="n"/>
      <c r="D38" s="35" t="n"/>
      <c r="E38" s="35" t="n"/>
      <c r="F38" s="466" t="n"/>
      <c r="K38" s="2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>
      <c r="B39" s="26" t="inlineStr">
        <is>
          <t>11(258)</t>
        </is>
      </c>
      <c r="C39" s="21" t="inlineStr">
        <is>
          <t>郡司</t>
        </is>
      </c>
      <c r="D39" s="35" t="n"/>
      <c r="E39" s="35" t="n"/>
      <c r="F39" s="466" t="n"/>
      <c r="H39" s="350" t="inlineStr">
        <is>
          <t>依頼件数</t>
        </is>
      </c>
      <c r="I39" s="465" t="n"/>
      <c r="J39" s="467" t="n"/>
      <c r="K39" s="354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14.25" customHeight="1" s="462" thickBot="1">
      <c r="B40" s="26" t="inlineStr">
        <is>
          <t>12(736)</t>
        </is>
      </c>
      <c r="C40" s="21" t="n"/>
      <c r="D40" s="35" t="n"/>
      <c r="E40" s="35" t="n"/>
      <c r="F40" s="466" t="n"/>
      <c r="H40" s="468" t="n"/>
      <c r="I40" s="477" t="n"/>
      <c r="J40" s="469" t="n"/>
      <c r="K40" s="472" t="n"/>
    </row>
    <row r="41" ht="17.25" customHeight="1" s="462">
      <c r="B41" s="26" t="inlineStr">
        <is>
          <t>13(737)</t>
        </is>
      </c>
      <c r="C41" s="21" t="n"/>
      <c r="D41" s="35" t="n"/>
      <c r="E41" s="35" t="n"/>
      <c r="F41" s="466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2" ht="16.5" customHeight="1" s="462">
      <c r="B42" s="40" t="inlineStr">
        <is>
          <t>14(738)</t>
        </is>
      </c>
      <c r="C42" s="21" t="inlineStr">
        <is>
          <t>辻井</t>
        </is>
      </c>
      <c r="D42" s="35" t="n"/>
      <c r="E42" s="35" t="n"/>
      <c r="F42" s="466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3" ht="16.5" customHeight="1" s="462">
      <c r="B43" s="41" t="n"/>
      <c r="C43" s="42" t="n"/>
      <c r="D43" s="43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4" ht="8.25" customHeight="1" s="462">
      <c r="B44" s="45" t="n">
        <v>7290</v>
      </c>
      <c r="C44" s="21" t="inlineStr">
        <is>
          <t>佐藤</t>
        </is>
      </c>
      <c r="D44" s="35" t="n"/>
      <c r="E44" s="348" t="n"/>
      <c r="F44" s="34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5" ht="17.25" customHeight="1" s="462">
      <c r="B45" s="45" t="n">
        <v>7291</v>
      </c>
      <c r="C45" s="21" t="inlineStr">
        <is>
          <t>末次</t>
        </is>
      </c>
      <c r="D45" s="35" t="n"/>
      <c r="E45" s="348" t="n"/>
      <c r="F45" s="349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7.25" customHeight="1" s="462">
      <c r="B46" s="41" t="n"/>
      <c r="C46" s="42" t="n"/>
      <c r="D46" s="44" t="n"/>
      <c r="E46" s="44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 ht="9" customHeight="1" s="462">
      <c r="B47" s="45" t="n">
        <v>333</v>
      </c>
      <c r="C47" s="21" t="inlineStr">
        <is>
          <t>金井/奥田</t>
        </is>
      </c>
      <c r="D47" s="35" t="n"/>
      <c r="E47" s="484" t="n"/>
      <c r="F47" s="469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6.5" customHeight="1" s="462">
      <c r="B48" s="46" t="n">
        <v>666</v>
      </c>
      <c r="C48" s="21" t="inlineStr">
        <is>
          <t>徳留</t>
        </is>
      </c>
      <c r="D48" s="35" t="n"/>
      <c r="E48" s="35" t="n"/>
      <c r="F48" s="466" t="n"/>
      <c r="H48" s="38" t="n"/>
      <c r="I48" s="38" t="n"/>
      <c r="J48" s="38" t="n"/>
      <c r="K48" s="39" t="n"/>
    </row>
    <row r="49" ht="16.5" customHeight="1" s="462">
      <c r="B49" s="46" t="n">
        <v>777</v>
      </c>
      <c r="C49" s="21" t="n"/>
      <c r="D49" s="35" t="n"/>
      <c r="E49" s="348" t="n"/>
      <c r="F49" s="349" t="n"/>
      <c r="H49" s="38" t="n"/>
      <c r="I49" s="38" t="n"/>
      <c r="J49" s="38" t="n"/>
      <c r="K49" s="39" t="n"/>
    </row>
    <row r="50" ht="16.5" customHeight="1" s="462">
      <c r="B50" s="47" t="n">
        <v>330</v>
      </c>
      <c r="C50" s="21" t="n"/>
      <c r="D50" s="35" t="n"/>
      <c r="E50" s="35" t="n"/>
      <c r="F50" s="466" t="n"/>
      <c r="H50" s="38" t="n"/>
      <c r="I50" s="38" t="n"/>
      <c r="J50" s="38" t="n"/>
      <c r="K50" s="39" t="n"/>
    </row>
    <row r="51" ht="16.5" customHeight="1" s="462">
      <c r="B51" s="47" t="n">
        <v>990</v>
      </c>
      <c r="C51" s="21" t="inlineStr">
        <is>
          <t>山原</t>
        </is>
      </c>
      <c r="D51" s="35" t="n"/>
      <c r="E51" s="35" t="n"/>
      <c r="F51" s="466" t="n"/>
      <c r="H51" s="38" t="n"/>
      <c r="I51" s="38" t="n"/>
      <c r="J51" s="38" t="n"/>
      <c r="K51" s="39" t="n"/>
    </row>
    <row r="52" ht="16.5" customHeight="1" s="462"/>
    <row r="53">
      <c r="C53" s="449" t="inlineStr">
        <is>
          <t>出発→到着</t>
        </is>
      </c>
      <c r="D53" s="420" t="inlineStr">
        <is>
          <t>備考</t>
        </is>
      </c>
    </row>
    <row r="54">
      <c r="B54" s="27" t="inlineStr">
        <is>
          <t>①</t>
        </is>
      </c>
      <c r="C54" s="449" t="inlineStr">
        <is>
          <t>東→西</t>
        </is>
      </c>
      <c r="D54" s="485" t="inlineStr">
        <is>
          <t>①Aチーム優先</t>
        </is>
      </c>
      <c r="E54" s="486" t="n"/>
      <c r="F54" s="486" t="n"/>
      <c r="G54" s="486" t="n"/>
      <c r="H54" s="486" t="n"/>
      <c r="I54" s="486" t="n"/>
      <c r="J54" s="466" t="n"/>
    </row>
    <row r="55">
      <c r="B55" s="27" t="inlineStr">
        <is>
          <t>②</t>
        </is>
      </c>
      <c r="C55" s="449" t="inlineStr">
        <is>
          <t>東→東</t>
        </is>
      </c>
      <c r="D55" s="485" t="inlineStr">
        <is>
          <t>②急ぎ案件の場合、道路状況も伝えてあげる。</t>
        </is>
      </c>
      <c r="E55" s="486" t="n"/>
      <c r="F55" s="486" t="n"/>
      <c r="G55" s="486" t="n"/>
      <c r="H55" s="486" t="n"/>
      <c r="I55" s="486" t="n"/>
      <c r="J55" s="466" t="n"/>
    </row>
    <row r="56">
      <c r="B56" s="27" t="inlineStr">
        <is>
          <t>③</t>
        </is>
      </c>
      <c r="C56" s="449" t="inlineStr">
        <is>
          <t>西→東</t>
        </is>
      </c>
      <c r="D56" s="485" t="inlineStr">
        <is>
          <t>③各ドライバーの位置からの帰社のタイミング・夕方の配置</t>
        </is>
      </c>
      <c r="E56" s="486" t="n"/>
      <c r="F56" s="486" t="n"/>
      <c r="G56" s="486" t="n"/>
      <c r="H56" s="486" t="n"/>
      <c r="I56" s="486" t="n"/>
      <c r="J56" s="466" t="n"/>
    </row>
    <row r="57">
      <c r="B57" s="27" t="inlineStr">
        <is>
          <t>④</t>
        </is>
      </c>
      <c r="C57" s="449" t="inlineStr">
        <is>
          <t>西→西</t>
        </is>
      </c>
      <c r="D57" s="485" t="inlineStr">
        <is>
          <t>④依頼を受ける際の、希望時間と現状の位置。行けるか行けないかの判断をしっかりと。</t>
        </is>
      </c>
      <c r="E57" s="486" t="n"/>
      <c r="F57" s="486" t="n"/>
      <c r="G57" s="486" t="n"/>
      <c r="H57" s="486" t="n"/>
      <c r="I57" s="486" t="n"/>
      <c r="J57" s="466" t="n"/>
    </row>
    <row r="58">
      <c r="D58" s="485" t="inlineStr">
        <is>
          <t>⑤軽に乗るか乗らないかの判断に気を付ける。</t>
        </is>
      </c>
      <c r="E58" s="486" t="n"/>
      <c r="F58" s="486" t="n"/>
      <c r="G58" s="486" t="n"/>
      <c r="H58" s="486" t="n"/>
      <c r="I58" s="486" t="n"/>
      <c r="J58" s="466" t="n"/>
    </row>
    <row r="59">
      <c r="B59" s="22" t="n"/>
      <c r="C59" s="420" t="inlineStr">
        <is>
          <t>現状配置(予測)</t>
        </is>
      </c>
      <c r="D59" s="485" t="inlineStr">
        <is>
          <t>⑥18/1日、1.8/1人、3件/1人</t>
        </is>
      </c>
      <c r="E59" s="486" t="n"/>
      <c r="F59" s="486" t="n"/>
      <c r="G59" s="486" t="n"/>
      <c r="H59" s="486" t="n"/>
      <c r="I59" s="486" t="n"/>
      <c r="J59" s="466" t="n"/>
    </row>
    <row r="60">
      <c r="B60" s="420" t="inlineStr">
        <is>
          <t>西(神戸西・弥栄台)</t>
        </is>
      </c>
      <c r="C60" s="420" t="n"/>
      <c r="D60" s="485" t="inlineStr">
        <is>
          <t>⑦依頼書の見落とし(日付、入替、入出庫、場所）</t>
        </is>
      </c>
      <c r="E60" s="486" t="n"/>
      <c r="F60" s="486" t="n"/>
      <c r="G60" s="486" t="n"/>
      <c r="H60" s="486" t="n"/>
      <c r="I60" s="486" t="n"/>
      <c r="J60" s="466" t="n"/>
    </row>
    <row r="61">
      <c r="B61" s="420" t="inlineStr">
        <is>
          <t>真ん中(摩耶・中央)</t>
        </is>
      </c>
      <c r="C61" s="420" t="n"/>
      <c r="D61" s="485" t="inlineStr">
        <is>
          <t>⑧3ｔ車と2ｔ車への振り方(西と東に振り分ける)</t>
        </is>
      </c>
      <c r="E61" s="486" t="n"/>
      <c r="F61" s="486" t="n"/>
      <c r="G61" s="486" t="n"/>
      <c r="H61" s="486" t="n"/>
      <c r="I61" s="486" t="n"/>
      <c r="J61" s="466" t="n"/>
    </row>
    <row r="62">
      <c r="B62" s="420" t="inlineStr">
        <is>
          <t>東(尼崎・伊丹・西宮)</t>
        </is>
      </c>
      <c r="C62" s="420" t="n"/>
      <c r="D62" s="485" t="inlineStr">
        <is>
          <t>⑨</t>
        </is>
      </c>
      <c r="E62" s="486" t="n"/>
      <c r="F62" s="486" t="n"/>
      <c r="G62" s="486" t="n"/>
      <c r="H62" s="486" t="n"/>
      <c r="I62" s="486" t="n"/>
      <c r="J62" s="466" t="n"/>
    </row>
    <row r="63">
      <c r="B63" s="48" t="inlineStr">
        <is>
          <t>極東(港区・淀屋橋)</t>
        </is>
      </c>
      <c r="C63" s="420" t="n"/>
      <c r="D63" s="49" t="n"/>
      <c r="E63" s="49" t="n"/>
      <c r="F63" s="49" t="n"/>
      <c r="G63" s="49" t="n"/>
      <c r="H63" s="49" t="n"/>
      <c r="I63" s="49" t="n"/>
      <c r="J63" s="49" t="n"/>
    </row>
    <row r="64" ht="14.25" customHeight="1" s="462" thickBot="1"/>
    <row r="65">
      <c r="C65" s="473" t="inlineStr">
        <is>
          <t>合計額/380</t>
        </is>
      </c>
      <c r="D65" s="358">
        <f>SUM(G65)</f>
        <v/>
      </c>
      <c r="F65" s="360" t="inlineStr">
        <is>
          <t>売り上げ額</t>
        </is>
      </c>
      <c r="G65" s="362">
        <f>SUM(SUM(K4:K31))</f>
        <v/>
      </c>
      <c r="H65" s="465" t="n"/>
      <c r="I65" s="465" t="n"/>
      <c r="J65" s="467" t="n"/>
    </row>
    <row r="66" ht="14.25" customHeight="1" s="462" thickBot="1">
      <c r="C66" s="474" t="n"/>
      <c r="D66" s="475" t="n"/>
      <c r="F66" s="468" t="n"/>
      <c r="G66" s="476" t="n"/>
      <c r="H66" s="477" t="n"/>
      <c r="I66" s="477" t="n"/>
      <c r="J66" s="469" t="n"/>
    </row>
    <row r="67">
      <c r="C67" s="478" t="inlineStr">
        <is>
          <t>前日までの売上合計額</t>
        </is>
      </c>
      <c r="D67" s="479">
        <f>SUM('6　4 '!D69:D70)</f>
        <v/>
      </c>
    </row>
    <row r="68" ht="14.25" customHeight="1" s="462" thickBot="1">
      <c r="C68" s="480" t="n"/>
      <c r="D68" s="480" t="n"/>
      <c r="F68" s="420" t="inlineStr">
        <is>
          <t>金井（55)</t>
        </is>
      </c>
      <c r="G68" s="345" t="n"/>
      <c r="H68" s="466" t="n"/>
      <c r="I68" s="130" t="n"/>
    </row>
    <row r="69" ht="14.25" customHeight="1" s="462" thickTop="1">
      <c r="D69" s="346">
        <f>D65+D67</f>
        <v/>
      </c>
      <c r="F69" s="420" t="inlineStr">
        <is>
          <t>粟津(55)</t>
        </is>
      </c>
      <c r="G69" s="340" t="n"/>
      <c r="H69" s="466" t="n"/>
      <c r="I69" s="131" t="n"/>
    </row>
    <row r="70">
      <c r="F70" s="420" t="inlineStr">
        <is>
          <t>砂川(50)</t>
        </is>
      </c>
      <c r="G70" s="340" t="n"/>
      <c r="H70" s="466" t="n"/>
      <c r="I70" s="131" t="n"/>
    </row>
    <row r="71">
      <c r="C71" s="2" t="inlineStr">
        <is>
          <t>高代</t>
        </is>
      </c>
      <c r="F71" s="420" t="inlineStr">
        <is>
          <t>前川(50)</t>
        </is>
      </c>
      <c r="G71" s="340" t="n"/>
      <c r="H71" s="466" t="n"/>
      <c r="I71" s="131" t="n"/>
    </row>
    <row r="72">
      <c r="C72" s="2" t="inlineStr">
        <is>
          <t>返還代</t>
        </is>
      </c>
      <c r="F72" s="420" t="inlineStr">
        <is>
          <t>佐藤(50)</t>
        </is>
      </c>
      <c r="G72" s="345" t="n"/>
      <c r="H72" s="466" t="n"/>
      <c r="I72" s="130" t="n"/>
    </row>
    <row r="73">
      <c r="C73" s="2" t="inlineStr">
        <is>
          <t>回収率</t>
        </is>
      </c>
      <c r="D73" s="50">
        <f>D72/D71</f>
        <v/>
      </c>
      <c r="F73" s="420" t="inlineStr">
        <is>
          <t>末次(55)</t>
        </is>
      </c>
      <c r="G73" s="340" t="n"/>
      <c r="H73" s="466" t="n"/>
      <c r="I73" s="131" t="n"/>
    </row>
    <row r="74">
      <c r="C74" s="2" t="inlineStr">
        <is>
          <t>費</t>
        </is>
      </c>
      <c r="D74" s="2">
        <f>D71-D72</f>
        <v/>
      </c>
      <c r="F74" s="420" t="inlineStr">
        <is>
          <t>筒井(75)</t>
        </is>
      </c>
      <c r="G74" s="340" t="n"/>
      <c r="H74" s="466" t="n"/>
      <c r="I74" s="131" t="n"/>
    </row>
    <row r="75">
      <c r="F75" s="420" t="inlineStr">
        <is>
          <t>山岸(40)</t>
        </is>
      </c>
      <c r="G75" s="340" t="n"/>
      <c r="H75" s="466" t="n"/>
      <c r="I75" s="131" t="n"/>
    </row>
    <row r="76" ht="17.25" customHeight="1" s="462">
      <c r="B76" s="71" t="n"/>
      <c r="F76" s="420" t="inlineStr">
        <is>
          <t>多苗(30)</t>
        </is>
      </c>
      <c r="G76" s="340" t="n"/>
      <c r="H76" s="466" t="n"/>
      <c r="I76" s="131" t="n"/>
      <c r="L76" s="2" t="inlineStr">
        <is>
          <t> </t>
        </is>
      </c>
    </row>
    <row r="77" ht="23.25" customHeight="1" s="462"/>
  </sheetData>
  <mergeCells count="56">
    <mergeCell ref="E50:F50"/>
    <mergeCell ref="K36:K37"/>
    <mergeCell ref="Q7:R7"/>
    <mergeCell ref="Q25:R25"/>
    <mergeCell ref="D56:J56"/>
    <mergeCell ref="Q3:R3"/>
    <mergeCell ref="D58:J58"/>
    <mergeCell ref="D62:J62"/>
    <mergeCell ref="D65:D66"/>
    <mergeCell ref="F65:F66"/>
    <mergeCell ref="Q28:R28"/>
    <mergeCell ref="E42:F42"/>
    <mergeCell ref="Q24:R24"/>
    <mergeCell ref="G71:H71"/>
    <mergeCell ref="D55:J55"/>
    <mergeCell ref="E48:F48"/>
    <mergeCell ref="G70:H70"/>
    <mergeCell ref="E39:F39"/>
    <mergeCell ref="E35:F35"/>
    <mergeCell ref="E51:F51"/>
    <mergeCell ref="B2:C2"/>
    <mergeCell ref="D54:J54"/>
    <mergeCell ref="E38:F38"/>
    <mergeCell ref="C65:C66"/>
    <mergeCell ref="D59:J59"/>
    <mergeCell ref="Q23:R23"/>
    <mergeCell ref="G65:J66"/>
    <mergeCell ref="D60:J60"/>
    <mergeCell ref="Q26:R26"/>
    <mergeCell ref="K39:K40"/>
    <mergeCell ref="E40:F40"/>
    <mergeCell ref="G69:H69"/>
    <mergeCell ref="Q4:R4"/>
    <mergeCell ref="Q31:R31"/>
    <mergeCell ref="G74:H74"/>
    <mergeCell ref="E34:F34"/>
    <mergeCell ref="C67:C68"/>
    <mergeCell ref="G68:H68"/>
    <mergeCell ref="Q6:R6"/>
    <mergeCell ref="H39:J40"/>
    <mergeCell ref="H34:J35"/>
    <mergeCell ref="D57:J57"/>
    <mergeCell ref="E36:F36"/>
    <mergeCell ref="Q27:R27"/>
    <mergeCell ref="H36:J37"/>
    <mergeCell ref="K34:K35"/>
    <mergeCell ref="D67:D68"/>
    <mergeCell ref="G73:H73"/>
    <mergeCell ref="D61:J61"/>
    <mergeCell ref="G76:H76"/>
    <mergeCell ref="E41:F41"/>
    <mergeCell ref="D69:D70"/>
    <mergeCell ref="E37:F37"/>
    <mergeCell ref="G75:H75"/>
    <mergeCell ref="E47:F47"/>
    <mergeCell ref="G72:H72"/>
  </mergeCells>
  <conditionalFormatting sqref="K36:K37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L3:L31">
    <cfRule type="cellIs" priority="3" operator="greaterThan" dxfId="0">
      <formula>30</formula>
    </cfRule>
  </conditionalFormatting>
  <conditionalFormatting sqref="D5:D39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/>
</worksheet>
</file>

<file path=xl/worksheets/sheet12.xml><?xml version="1.0" encoding="utf-8"?>
<worksheet xmlns="http://schemas.openxmlformats.org/spreadsheetml/2006/main">
  <sheetPr codeName="Sheet11">
    <tabColor rgb="FFFF0000"/>
    <outlinePr summaryBelow="1" summaryRight="1"/>
    <pageSetUpPr/>
  </sheetPr>
  <dimension ref="A1:R64"/>
  <sheetViews>
    <sheetView zoomScale="70" zoomScaleNormal="70" workbookViewId="0">
      <selection activeCell="K6" sqref="K6:K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21.125" bestFit="1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2" min="11" max="11"/>
    <col width="8.75" customWidth="1" style="2" min="12" max="16384"/>
  </cols>
  <sheetData>
    <row r="1"/>
    <row r="2" ht="15" customHeight="1" s="462" thickBot="1">
      <c r="B2" s="490" t="n">
        <v>46179</v>
      </c>
      <c r="C2" s="463" t="n"/>
      <c r="D2" s="2" t="inlineStr">
        <is>
          <t>NO.2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4" t="n"/>
      <c r="D5" s="63" t="n"/>
      <c r="E5" s="441" t="n"/>
      <c r="F5" s="57" t="n"/>
      <c r="G5" s="65" t="n"/>
      <c r="H5" s="74" t="n"/>
      <c r="I5" s="132" t="n"/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  <c r="R5" s="449" t="n"/>
    </row>
    <row r="6" ht="54" customHeight="1" s="462">
      <c r="A6" s="423">
        <f>IF(B6="","",COUNTA($B$5:B6))</f>
        <v/>
      </c>
      <c r="B6" s="57" t="n"/>
      <c r="C6" s="64" t="n"/>
      <c r="D6" s="63" t="n"/>
      <c r="E6" s="441" t="n"/>
      <c r="F6" s="57" t="n"/>
      <c r="G6" s="209" t="n"/>
      <c r="H6" s="262" t="n"/>
      <c r="I6" s="319">
        <f>IFERROR(_xlfn.XLOOKUP(H6,案件・ドライバー一覧!$L$3:$L$17,案件・ドライバー一覧!$M$3:$M$17,""),"")</f>
        <v/>
      </c>
      <c r="J6" s="420" t="n"/>
      <c r="K6" s="73" t="n"/>
      <c r="L6" s="61" t="n"/>
      <c r="M6" s="449" t="n"/>
      <c r="N6" s="449" t="n"/>
      <c r="O6" s="449" t="n"/>
      <c r="P6" s="449" t="n"/>
      <c r="Q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255" t="n"/>
      <c r="F7" s="57" t="n"/>
      <c r="G7" s="65" t="n"/>
      <c r="H7" s="262" t="n"/>
      <c r="I7" s="298">
        <f>IFERROR(_xlfn.XLOOKUP(H7,案件・ドライバー一覧!$L$3:$L$17,案件・ドライバー一覧!$M$3:$M$17,""),"")</f>
        <v/>
      </c>
      <c r="J7" s="420" t="n"/>
      <c r="K7" s="72" t="n"/>
      <c r="L7" s="61" t="n"/>
      <c r="M7" s="449" t="n"/>
      <c r="N7" s="449" t="n"/>
      <c r="O7" s="449" t="n"/>
      <c r="P7" s="449" t="n"/>
      <c r="Q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30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30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30" customHeight="1" s="462">
      <c r="A11" s="423">
        <f>IF(B11="","",COUNTA($B$5:B11))</f>
        <v/>
      </c>
      <c r="B11" s="57" t="n"/>
      <c r="C11" s="62" t="n"/>
      <c r="D11" s="63" t="n"/>
      <c r="E11" s="441" t="n"/>
      <c r="F11" s="57" t="n"/>
      <c r="G11" s="66" t="n"/>
      <c r="H11" s="74" t="n"/>
      <c r="I11" s="80" t="n"/>
      <c r="J11" s="57" t="n"/>
      <c r="K11" s="73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</row>
    <row r="12" ht="30" customHeight="1" s="462">
      <c r="A12" s="423">
        <f>IF(B12="","",COUNTA($B$5:B12))</f>
        <v/>
      </c>
      <c r="B12" s="57" t="n"/>
      <c r="C12" s="63" t="n"/>
      <c r="D12" s="64" t="n"/>
      <c r="E12" s="420" t="n"/>
      <c r="F12" s="57" t="n"/>
      <c r="G12" s="66" t="n"/>
      <c r="H12" s="74" t="n"/>
      <c r="I12" s="74" t="n"/>
      <c r="J12" s="420" t="n"/>
      <c r="K12" s="73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</row>
    <row r="13" ht="30" customHeight="1" s="462">
      <c r="A13" s="423">
        <f>IF(B13="","",COUNTA($B$5:B13))</f>
        <v/>
      </c>
      <c r="B13" s="57" t="n"/>
      <c r="C13" s="420" t="n"/>
      <c r="D13" s="63" t="n"/>
      <c r="E13" s="441" t="n"/>
      <c r="F13" s="57" t="n"/>
      <c r="G13" s="65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</row>
    <row r="14" ht="30" customHeight="1" s="462">
      <c r="A14" s="423">
        <f>IF(B14="","",COUNTA($B$5:B14))</f>
        <v/>
      </c>
      <c r="B14" s="57" t="n"/>
      <c r="C14" s="57" t="n"/>
      <c r="D14" s="441" t="n"/>
      <c r="E14" s="441" t="n"/>
      <c r="F14" s="57" t="n"/>
      <c r="G14" s="66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</row>
    <row r="15" ht="30" customHeight="1" s="462">
      <c r="A15" s="423">
        <f>IF(B15="","",COUNTA($B$5:B15))</f>
        <v/>
      </c>
      <c r="B15" s="441" t="n"/>
      <c r="C15" s="440" t="n"/>
      <c r="D15" s="441" t="n"/>
      <c r="E15" s="440" t="n"/>
      <c r="F15" s="57" t="n"/>
      <c r="G15" s="65" t="n"/>
      <c r="H15" s="74" t="n"/>
      <c r="I15" s="74" t="n"/>
      <c r="J15" s="420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</row>
    <row r="16" ht="30" customHeight="1" s="462">
      <c r="A16" s="423">
        <f>IF(B16="","",COUNTA($B$5:B16))</f>
        <v/>
      </c>
      <c r="B16" s="441" t="n"/>
      <c r="C16" s="63" t="n"/>
      <c r="D16" s="440" t="n"/>
      <c r="E16" s="441" t="n"/>
      <c r="F16" s="57" t="n"/>
      <c r="G16" s="59" t="n"/>
      <c r="H16" s="60" t="n"/>
      <c r="I16" s="60" t="n"/>
      <c r="J16" s="57" t="n"/>
      <c r="K16" s="73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</row>
    <row r="17" ht="30" customHeight="1" s="462">
      <c r="A17" s="423">
        <f>IF(B17="","",COUNTA($B$5:B17))</f>
        <v/>
      </c>
      <c r="B17" s="441" t="n"/>
      <c r="C17" s="63" t="n"/>
      <c r="D17" s="440" t="n"/>
      <c r="E17" s="441" t="n"/>
      <c r="F17" s="57" t="n"/>
      <c r="G17" s="59" t="n"/>
      <c r="H17" s="60" t="n"/>
      <c r="I17" s="60" t="n"/>
      <c r="J17" s="57" t="n"/>
      <c r="K17" s="73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30" customHeight="1" s="462">
      <c r="A18" s="423">
        <f>IF(B18="","",COUNTA($B$5:B18))</f>
        <v/>
      </c>
      <c r="B18" s="441" t="n"/>
      <c r="C18" s="63" t="n"/>
      <c r="D18" s="440" t="n"/>
      <c r="E18" s="441" t="n"/>
      <c r="F18" s="57" t="n"/>
      <c r="G18" s="59" t="n"/>
      <c r="H18" s="60" t="n"/>
      <c r="I18" s="60" t="n"/>
      <c r="J18" s="57" t="n"/>
      <c r="K18" s="73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30" customHeight="1" s="462">
      <c r="A19" s="423">
        <f>IF(B19="","",COUNTA($B$5:B19))</f>
        <v/>
      </c>
      <c r="B19" s="420" t="n"/>
      <c r="C19" s="420" t="n"/>
      <c r="D19" s="420" t="n"/>
      <c r="E19" s="420" t="n"/>
      <c r="F19" s="420" t="n"/>
      <c r="G19" s="69" t="n"/>
      <c r="H19" s="70" t="n"/>
      <c r="I19" s="70" t="n"/>
      <c r="J19" s="420" t="n"/>
      <c r="K19" s="2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</row>
    <row r="20" ht="30" customHeight="1" s="462">
      <c r="B20" s="18" t="n"/>
      <c r="C20" s="18" t="n"/>
      <c r="D20" s="18" t="n"/>
      <c r="E20" s="18" t="n"/>
      <c r="F20" s="18" t="n"/>
      <c r="G20" s="19" t="n"/>
      <c r="H20" s="33" t="n"/>
      <c r="I20" s="18" t="n"/>
      <c r="J20" s="18" t="n"/>
      <c r="K20" s="18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1" ht="14.25" customHeight="1" s="462" thickBot="1">
      <c r="K21" s="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2">
      <c r="B22" s="22" t="n"/>
      <c r="C22" s="25" t="n"/>
      <c r="D22" s="25" t="inlineStr">
        <is>
          <t>現在待機場所</t>
        </is>
      </c>
      <c r="E22" s="25" t="inlineStr">
        <is>
          <t>待機予定場所</t>
        </is>
      </c>
      <c r="F22" s="466" t="n"/>
      <c r="H22" s="375" t="inlineStr">
        <is>
          <t>目標距離</t>
        </is>
      </c>
      <c r="I22" s="465" t="n"/>
      <c r="J22" s="467" t="n"/>
      <c r="K22" s="377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3" ht="14.25" customHeight="1" s="462" thickBot="1">
      <c r="B23" s="26" t="inlineStr">
        <is>
          <t>2(255)</t>
        </is>
      </c>
      <c r="C23" s="21" t="inlineStr">
        <is>
          <t>山岸</t>
        </is>
      </c>
      <c r="D23" s="34" t="n"/>
      <c r="E23" s="34" t="n"/>
      <c r="F23" s="466" t="n"/>
      <c r="H23" s="468" t="n"/>
      <c r="I23" s="477" t="n"/>
      <c r="J23" s="469" t="n"/>
      <c r="K23" s="470" t="n"/>
    </row>
    <row r="24">
      <c r="B24" s="26" t="inlineStr">
        <is>
          <t>8(254)</t>
        </is>
      </c>
      <c r="C24" s="21" t="inlineStr">
        <is>
          <t>砂川</t>
        </is>
      </c>
      <c r="D24" s="35" t="n"/>
      <c r="E24" s="35" t="n"/>
      <c r="F24" s="466" t="n"/>
      <c r="H24" s="368" t="inlineStr">
        <is>
          <t>残距離</t>
        </is>
      </c>
      <c r="J24" s="471" t="n"/>
      <c r="K24" s="354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5" ht="14.25" customHeight="1" s="462" thickBot="1">
      <c r="B25" s="26" t="inlineStr">
        <is>
          <t>9(256)</t>
        </is>
      </c>
      <c r="C25" s="21" t="inlineStr">
        <is>
          <t>前川</t>
        </is>
      </c>
      <c r="D25" s="35" t="n"/>
      <c r="E25" s="35" t="n"/>
      <c r="F25" s="466" t="n"/>
      <c r="H25" s="468" t="n"/>
      <c r="I25" s="477" t="n"/>
      <c r="J25" s="469" t="n"/>
      <c r="K25" s="472" t="n"/>
    </row>
    <row r="26" ht="14.25" customHeight="1" s="462" thickBot="1">
      <c r="B26" s="26" t="inlineStr">
        <is>
          <t>10(257)</t>
        </is>
      </c>
      <c r="C26" s="35" t="n"/>
      <c r="D26" s="35" t="n"/>
      <c r="E26" s="35" t="n"/>
      <c r="F26" s="466" t="n"/>
      <c r="K26" s="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7">
      <c r="B27" s="26" t="inlineStr">
        <is>
          <t>11(258)</t>
        </is>
      </c>
      <c r="C27" s="21" t="inlineStr">
        <is>
          <t>郡司</t>
        </is>
      </c>
      <c r="D27" s="35" t="n"/>
      <c r="E27" s="35" t="n"/>
      <c r="F27" s="466" t="n"/>
      <c r="H27" s="350" t="inlineStr">
        <is>
          <t>依頼件数</t>
        </is>
      </c>
      <c r="I27" s="465" t="n"/>
      <c r="J27" s="467" t="n"/>
      <c r="K27" s="354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8" ht="14.25" customHeight="1" s="462" thickBot="1">
      <c r="B28" s="26" t="inlineStr">
        <is>
          <t>12(736)</t>
        </is>
      </c>
      <c r="C28" s="21" t="n"/>
      <c r="D28" s="35" t="n"/>
      <c r="E28" s="35" t="n"/>
      <c r="F28" s="466" t="n"/>
      <c r="H28" s="468" t="n"/>
      <c r="I28" s="477" t="n"/>
      <c r="J28" s="469" t="n"/>
      <c r="K28" s="472" t="n"/>
    </row>
    <row r="29" ht="17.25" customHeight="1" s="462">
      <c r="B29" s="26" t="inlineStr">
        <is>
          <t>13(737)</t>
        </is>
      </c>
      <c r="C29" s="21" t="n"/>
      <c r="D29" s="35" t="n"/>
      <c r="E29" s="35" t="n"/>
      <c r="F29" s="466" t="n"/>
      <c r="H29" s="38" t="n"/>
      <c r="I29" s="38" t="n"/>
      <c r="J29" s="38" t="n"/>
      <c r="K29" s="39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0" ht="16.5" customHeight="1" s="462">
      <c r="B30" s="40" t="inlineStr">
        <is>
          <t>14(738)</t>
        </is>
      </c>
      <c r="C30" s="21" t="inlineStr">
        <is>
          <t>辻井</t>
        </is>
      </c>
      <c r="D30" s="35" t="n"/>
      <c r="E30" s="35" t="n"/>
      <c r="F30" s="466" t="n"/>
      <c r="H30" s="38" t="n"/>
      <c r="I30" s="38" t="n"/>
      <c r="J30" s="38" t="n"/>
      <c r="K30" s="39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1" ht="16.5" customHeight="1" s="462">
      <c r="B31" s="41" t="n"/>
      <c r="C31" s="42" t="n"/>
      <c r="D31" s="43" t="n"/>
      <c r="E31" s="44" t="n"/>
      <c r="F31" s="349" t="n"/>
      <c r="H31" s="38" t="n"/>
      <c r="I31" s="38" t="n"/>
      <c r="J31" s="38" t="n"/>
      <c r="K31" s="39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8.25" customHeight="1" s="462">
      <c r="B32" s="45" t="n">
        <v>7290</v>
      </c>
      <c r="C32" s="21" t="inlineStr">
        <is>
          <t>佐藤</t>
        </is>
      </c>
      <c r="D32" s="35" t="n"/>
      <c r="E32" s="348" t="n"/>
      <c r="F32" s="349" t="n"/>
      <c r="H32" s="38" t="n"/>
      <c r="I32" s="38" t="n"/>
      <c r="J32" s="38" t="n"/>
      <c r="K32" s="39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3" ht="17.25" customHeight="1" s="462">
      <c r="B33" s="45" t="n">
        <v>7291</v>
      </c>
      <c r="C33" s="21" t="inlineStr">
        <is>
          <t>末次</t>
        </is>
      </c>
      <c r="D33" s="35" t="n"/>
      <c r="E33" s="348" t="n"/>
      <c r="F33" s="349" t="n"/>
      <c r="H33" s="38" t="n"/>
      <c r="I33" s="38" t="n"/>
      <c r="J33" s="38" t="n"/>
      <c r="K33" s="39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 ht="17.25" customHeight="1" s="462">
      <c r="B34" s="41" t="n"/>
      <c r="C34" s="42" t="n"/>
      <c r="D34" s="44" t="n"/>
      <c r="E34" s="44" t="n"/>
      <c r="F34" s="349" t="n"/>
      <c r="H34" s="38" t="n"/>
      <c r="I34" s="38" t="n"/>
      <c r="J34" s="38" t="n"/>
      <c r="K34" s="39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5" ht="9" customHeight="1" s="462">
      <c r="B35" s="45" t="n">
        <v>333</v>
      </c>
      <c r="C35" s="21" t="inlineStr">
        <is>
          <t>金井/奥田</t>
        </is>
      </c>
      <c r="D35" s="35" t="n"/>
      <c r="E35" s="484" t="n"/>
      <c r="F35" s="469" t="n"/>
      <c r="H35" s="38" t="n"/>
      <c r="I35" s="38" t="n"/>
      <c r="J35" s="38" t="n"/>
      <c r="K35" s="39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6" ht="16.5" customHeight="1" s="462">
      <c r="B36" s="46" t="n">
        <v>666</v>
      </c>
      <c r="C36" s="21" t="inlineStr">
        <is>
          <t>徳留</t>
        </is>
      </c>
      <c r="D36" s="35" t="n"/>
      <c r="E36" s="35" t="n"/>
      <c r="F36" s="466" t="n"/>
      <c r="H36" s="38" t="n"/>
      <c r="I36" s="38" t="n"/>
      <c r="J36" s="38" t="n"/>
      <c r="K36" s="39" t="n"/>
    </row>
    <row r="37" ht="16.5" customHeight="1" s="462">
      <c r="B37" s="46" t="n">
        <v>777</v>
      </c>
      <c r="C37" s="21" t="n"/>
      <c r="D37" s="35" t="n"/>
      <c r="E37" s="348" t="n"/>
      <c r="F37" s="349" t="n"/>
      <c r="H37" s="38" t="n"/>
      <c r="I37" s="38" t="n"/>
      <c r="J37" s="38" t="n"/>
      <c r="K37" s="39" t="n"/>
    </row>
    <row r="38" ht="16.5" customHeight="1" s="462">
      <c r="B38" s="47" t="n">
        <v>330</v>
      </c>
      <c r="C38" s="21" t="n"/>
      <c r="D38" s="35" t="n"/>
      <c r="E38" s="35" t="n"/>
      <c r="F38" s="466" t="n"/>
      <c r="H38" s="38" t="n"/>
      <c r="I38" s="38" t="n"/>
      <c r="J38" s="38" t="n"/>
      <c r="K38" s="39" t="n"/>
    </row>
    <row r="39" ht="16.5" customHeight="1" s="462">
      <c r="B39" s="47" t="n">
        <v>990</v>
      </c>
      <c r="C39" s="21" t="inlineStr">
        <is>
          <t>山原</t>
        </is>
      </c>
      <c r="D39" s="35" t="n"/>
      <c r="E39" s="35" t="n"/>
      <c r="F39" s="466" t="n"/>
      <c r="H39" s="38" t="n"/>
      <c r="I39" s="38" t="n"/>
      <c r="J39" s="38" t="n"/>
      <c r="K39" s="39" t="n"/>
    </row>
    <row r="40" ht="16.5" customHeight="1" s="462"/>
    <row r="41">
      <c r="C41" s="449" t="inlineStr">
        <is>
          <t>出発→到着</t>
        </is>
      </c>
      <c r="D41" s="420" t="inlineStr">
        <is>
          <t>備考</t>
        </is>
      </c>
    </row>
    <row r="42">
      <c r="B42" s="27" t="inlineStr">
        <is>
          <t>①</t>
        </is>
      </c>
      <c r="C42" s="449" t="inlineStr">
        <is>
          <t>東→西</t>
        </is>
      </c>
      <c r="D42" s="485" t="inlineStr">
        <is>
          <t>①Aチーム優先</t>
        </is>
      </c>
      <c r="E42" s="486" t="n"/>
      <c r="F42" s="486" t="n"/>
      <c r="G42" s="486" t="n"/>
      <c r="H42" s="486" t="n"/>
      <c r="I42" s="486" t="n"/>
      <c r="J42" s="466" t="n"/>
    </row>
    <row r="43">
      <c r="B43" s="27" t="inlineStr">
        <is>
          <t>②</t>
        </is>
      </c>
      <c r="C43" s="449" t="inlineStr">
        <is>
          <t>東→東</t>
        </is>
      </c>
      <c r="D43" s="485" t="inlineStr">
        <is>
          <t>②急ぎ案件の場合、道路状況も伝えてあげる。</t>
        </is>
      </c>
      <c r="E43" s="486" t="n"/>
      <c r="F43" s="486" t="n"/>
      <c r="G43" s="486" t="n"/>
      <c r="H43" s="486" t="n"/>
      <c r="I43" s="486" t="n"/>
      <c r="J43" s="466" t="n"/>
    </row>
    <row r="44">
      <c r="B44" s="27" t="inlineStr">
        <is>
          <t>③</t>
        </is>
      </c>
      <c r="C44" s="449" t="inlineStr">
        <is>
          <t>西→東</t>
        </is>
      </c>
      <c r="D44" s="485" t="inlineStr">
        <is>
          <t>③各ドライバーの位置からの帰社のタイミング・夕方の配置</t>
        </is>
      </c>
      <c r="E44" s="486" t="n"/>
      <c r="F44" s="486" t="n"/>
      <c r="G44" s="486" t="n"/>
      <c r="H44" s="486" t="n"/>
      <c r="I44" s="486" t="n"/>
      <c r="J44" s="466" t="n"/>
    </row>
    <row r="45">
      <c r="B45" s="27" t="inlineStr">
        <is>
          <t>④</t>
        </is>
      </c>
      <c r="C45" s="449" t="inlineStr">
        <is>
          <t>西→西</t>
        </is>
      </c>
      <c r="D45" s="485" t="inlineStr">
        <is>
          <t>④依頼を受ける際の、希望時間と現状の位置。行けるか行けないかの判断をしっかりと。</t>
        </is>
      </c>
      <c r="E45" s="486" t="n"/>
      <c r="F45" s="486" t="n"/>
      <c r="G45" s="486" t="n"/>
      <c r="H45" s="486" t="n"/>
      <c r="I45" s="486" t="n"/>
      <c r="J45" s="466" t="n"/>
    </row>
    <row r="46">
      <c r="D46" s="485" t="inlineStr">
        <is>
          <t>⑤軽に乗るか乗らないかの判断に気を付ける。</t>
        </is>
      </c>
      <c r="E46" s="486" t="n"/>
      <c r="F46" s="486" t="n"/>
      <c r="G46" s="486" t="n"/>
      <c r="H46" s="486" t="n"/>
      <c r="I46" s="486" t="n"/>
      <c r="J46" s="466" t="n"/>
    </row>
    <row r="47">
      <c r="B47" s="22" t="n"/>
      <c r="C47" s="420" t="inlineStr">
        <is>
          <t>現状配置(予測)</t>
        </is>
      </c>
      <c r="D47" s="485" t="inlineStr">
        <is>
          <t>⑥18/1日、1.8/1人、3件/1人</t>
        </is>
      </c>
      <c r="E47" s="486" t="n"/>
      <c r="F47" s="486" t="n"/>
      <c r="G47" s="486" t="n"/>
      <c r="H47" s="486" t="n"/>
      <c r="I47" s="486" t="n"/>
      <c r="J47" s="466" t="n"/>
    </row>
    <row r="48">
      <c r="B48" s="420" t="inlineStr">
        <is>
          <t>西(神戸西・弥栄台)</t>
        </is>
      </c>
      <c r="C48" s="420" t="n"/>
      <c r="D48" s="485" t="inlineStr">
        <is>
          <t>⑦依頼書の見落とし(日付、入替、入出庫、場所）</t>
        </is>
      </c>
      <c r="E48" s="486" t="n"/>
      <c r="F48" s="486" t="n"/>
      <c r="G48" s="486" t="n"/>
      <c r="H48" s="486" t="n"/>
      <c r="I48" s="486" t="n"/>
      <c r="J48" s="466" t="n"/>
    </row>
    <row r="49">
      <c r="B49" s="420" t="inlineStr">
        <is>
          <t>真ん中(摩耶・中央)</t>
        </is>
      </c>
      <c r="C49" s="420" t="n"/>
      <c r="D49" s="485" t="inlineStr">
        <is>
          <t>⑧3ｔ車と2ｔ車への振り方(西と東に振り分ける)</t>
        </is>
      </c>
      <c r="E49" s="486" t="n"/>
      <c r="F49" s="486" t="n"/>
      <c r="G49" s="486" t="n"/>
      <c r="H49" s="486" t="n"/>
      <c r="I49" s="486" t="n"/>
      <c r="J49" s="466" t="n"/>
    </row>
    <row r="50">
      <c r="B50" s="420" t="inlineStr">
        <is>
          <t>東(尼崎・伊丹・西宮)</t>
        </is>
      </c>
      <c r="C50" s="420" t="n"/>
      <c r="D50" s="485" t="inlineStr">
        <is>
          <t>⑨</t>
        </is>
      </c>
      <c r="E50" s="486" t="n"/>
      <c r="F50" s="486" t="n"/>
      <c r="G50" s="486" t="n"/>
      <c r="H50" s="486" t="n"/>
      <c r="I50" s="486" t="n"/>
      <c r="J50" s="466" t="n"/>
    </row>
    <row r="51">
      <c r="B51" s="48" t="inlineStr">
        <is>
          <t>極東(港区・淀屋橋)</t>
        </is>
      </c>
      <c r="C51" s="420" t="n"/>
      <c r="D51" s="49" t="n"/>
      <c r="E51" s="49" t="n"/>
      <c r="F51" s="49" t="n"/>
      <c r="G51" s="49" t="n"/>
      <c r="H51" s="49" t="n"/>
      <c r="I51" s="49" t="n"/>
      <c r="J51" s="49" t="n"/>
    </row>
    <row r="52" ht="14.25" customHeight="1" s="462" thickBot="1"/>
    <row r="53">
      <c r="C53" s="473" t="inlineStr">
        <is>
          <t>合計額/380</t>
        </is>
      </c>
      <c r="D53" s="358">
        <f>SUM(G53)</f>
        <v/>
      </c>
      <c r="F53" s="360" t="inlineStr">
        <is>
          <t>売り上げ額</t>
        </is>
      </c>
      <c r="G53" s="362">
        <f>SUM(SUM(K4:K19))</f>
        <v/>
      </c>
      <c r="H53" s="465" t="n"/>
      <c r="I53" s="465" t="n"/>
      <c r="J53" s="467" t="n"/>
    </row>
    <row r="54" ht="14.25" customHeight="1" s="462" thickBot="1">
      <c r="C54" s="474" t="n"/>
      <c r="D54" s="475" t="n"/>
      <c r="F54" s="468" t="n"/>
      <c r="G54" s="476" t="n"/>
      <c r="H54" s="477" t="n"/>
      <c r="I54" s="477" t="n"/>
      <c r="J54" s="469" t="n"/>
    </row>
    <row r="55">
      <c r="C55" s="478" t="inlineStr">
        <is>
          <t>前日までの売上合計額</t>
        </is>
      </c>
      <c r="D55" s="479">
        <f>SUM('6　5'!D69:D70)</f>
        <v/>
      </c>
    </row>
    <row r="56" ht="14.25" customHeight="1" s="462" thickBot="1">
      <c r="C56" s="480" t="n"/>
      <c r="D56" s="480" t="n"/>
      <c r="F56" s="420" t="inlineStr">
        <is>
          <t>金井（55)</t>
        </is>
      </c>
      <c r="G56" s="345" t="n"/>
      <c r="H56" s="466" t="n"/>
      <c r="I56" s="130" t="n"/>
    </row>
    <row r="57" ht="14.25" customHeight="1" s="462" thickTop="1">
      <c r="D57" s="346">
        <f>D53+D55</f>
        <v/>
      </c>
      <c r="F57" s="420" t="inlineStr">
        <is>
          <t>粟津(55)</t>
        </is>
      </c>
      <c r="G57" s="340" t="n"/>
      <c r="H57" s="466" t="n"/>
      <c r="I57" s="131" t="n"/>
    </row>
    <row r="58">
      <c r="F58" s="420" t="inlineStr">
        <is>
          <t>砂川(50)</t>
        </is>
      </c>
      <c r="G58" s="340" t="n"/>
      <c r="H58" s="466" t="n"/>
      <c r="I58" s="131" t="n"/>
    </row>
    <row r="59">
      <c r="C59" s="2" t="inlineStr">
        <is>
          <t>高代</t>
        </is>
      </c>
      <c r="F59" s="420" t="inlineStr">
        <is>
          <t>前川(50)</t>
        </is>
      </c>
      <c r="G59" s="340" t="n"/>
      <c r="H59" s="466" t="n"/>
      <c r="I59" s="131" t="n"/>
    </row>
    <row r="60">
      <c r="C60" s="2" t="inlineStr">
        <is>
          <t>返還代</t>
        </is>
      </c>
      <c r="F60" s="420" t="inlineStr">
        <is>
          <t>佐藤(50)</t>
        </is>
      </c>
      <c r="G60" s="345" t="n"/>
      <c r="H60" s="466" t="n"/>
      <c r="I60" s="130" t="n"/>
    </row>
    <row r="61">
      <c r="C61" s="2" t="inlineStr">
        <is>
          <t>回収率</t>
        </is>
      </c>
      <c r="D61" s="50">
        <f>D60/D59</f>
        <v/>
      </c>
      <c r="F61" s="420" t="inlineStr">
        <is>
          <t>末次(55)</t>
        </is>
      </c>
      <c r="G61" s="340" t="n"/>
      <c r="H61" s="466" t="n"/>
      <c r="I61" s="131" t="n"/>
    </row>
    <row r="62">
      <c r="C62" s="2" t="inlineStr">
        <is>
          <t>費</t>
        </is>
      </c>
      <c r="D62" s="2">
        <f>D59-D60</f>
        <v/>
      </c>
      <c r="F62" s="420" t="inlineStr">
        <is>
          <t>筒井(75)</t>
        </is>
      </c>
      <c r="G62" s="340" t="n"/>
      <c r="H62" s="466" t="n"/>
      <c r="I62" s="131" t="n"/>
    </row>
    <row r="63">
      <c r="F63" s="420" t="inlineStr">
        <is>
          <t>山岸(40)</t>
        </is>
      </c>
      <c r="G63" s="340" t="n"/>
      <c r="H63" s="466" t="n"/>
      <c r="I63" s="131" t="n"/>
    </row>
    <row r="64" ht="17.25" customHeight="1" s="462">
      <c r="B64" s="71" t="n"/>
      <c r="F64" s="420" t="inlineStr">
        <is>
          <t>多苗(30)</t>
        </is>
      </c>
      <c r="G64" s="340" t="n"/>
      <c r="H64" s="466" t="n"/>
      <c r="I64" s="131" t="n"/>
      <c r="L64" s="2" t="inlineStr">
        <is>
          <t> </t>
        </is>
      </c>
    </row>
    <row r="65" ht="23.25" customHeight="1" s="462"/>
  </sheetData>
  <mergeCells count="56">
    <mergeCell ref="F53:F54"/>
    <mergeCell ref="Q13:R13"/>
    <mergeCell ref="Q16:R16"/>
    <mergeCell ref="G59:H59"/>
    <mergeCell ref="Q7:R7"/>
    <mergeCell ref="Q3:R3"/>
    <mergeCell ref="H24:J25"/>
    <mergeCell ref="E24:F24"/>
    <mergeCell ref="Q12:R12"/>
    <mergeCell ref="E23:F23"/>
    <mergeCell ref="G61:H61"/>
    <mergeCell ref="D42:J42"/>
    <mergeCell ref="E39:F39"/>
    <mergeCell ref="G53:J54"/>
    <mergeCell ref="E35:F35"/>
    <mergeCell ref="K22:K23"/>
    <mergeCell ref="B2:C2"/>
    <mergeCell ref="E38:F38"/>
    <mergeCell ref="D57:D58"/>
    <mergeCell ref="D50:J50"/>
    <mergeCell ref="E29:F29"/>
    <mergeCell ref="K27:K28"/>
    <mergeCell ref="D44:J44"/>
    <mergeCell ref="Q14:R14"/>
    <mergeCell ref="E28:F28"/>
    <mergeCell ref="C55:C56"/>
    <mergeCell ref="G57:H57"/>
    <mergeCell ref="Q19:R19"/>
    <mergeCell ref="G62:H62"/>
    <mergeCell ref="Q4:R4"/>
    <mergeCell ref="D53:D54"/>
    <mergeCell ref="D46:J46"/>
    <mergeCell ref="E30:F30"/>
    <mergeCell ref="Q15:R15"/>
    <mergeCell ref="D45:J45"/>
    <mergeCell ref="Q6:R6"/>
    <mergeCell ref="E27:F27"/>
    <mergeCell ref="G58:H58"/>
    <mergeCell ref="E36:F36"/>
    <mergeCell ref="D55:D56"/>
    <mergeCell ref="E26:F26"/>
    <mergeCell ref="H22:J23"/>
    <mergeCell ref="D49:J49"/>
    <mergeCell ref="G64:H64"/>
    <mergeCell ref="C53:C54"/>
    <mergeCell ref="D48:J48"/>
    <mergeCell ref="Q11:R11"/>
    <mergeCell ref="E25:F25"/>
    <mergeCell ref="G63:H63"/>
    <mergeCell ref="D47:J47"/>
    <mergeCell ref="H27:J28"/>
    <mergeCell ref="E22:F22"/>
    <mergeCell ref="K24:K25"/>
    <mergeCell ref="G60:H60"/>
    <mergeCell ref="D43:J43"/>
    <mergeCell ref="G56:H56"/>
  </mergeCells>
  <conditionalFormatting sqref="K24:K25">
    <cfRule type="cellIs" priority="2" operator="lessThan" dxfId="7">
      <formula>-90</formula>
    </cfRule>
    <cfRule type="cellIs" priority="3" operator="lessThan" dxfId="7">
      <formula>0</formula>
    </cfRule>
  </conditionalFormatting>
  <conditionalFormatting sqref="L3">
    <cfRule type="cellIs" priority="5" operator="greaterThan" dxfId="6">
      <formula>30</formula>
    </cfRule>
    <cfRule type="cellIs" priority="6" operator="greaterThan" dxfId="5">
      <formula>30</formula>
    </cfRule>
  </conditionalFormatting>
  <conditionalFormatting sqref="L3:L19">
    <cfRule type="cellIs" priority="4" operator="greaterThan" dxfId="0">
      <formula>30</formula>
    </cfRule>
  </conditionalFormatting>
  <conditionalFormatting sqref="D5:D27">
    <cfRule type="containsText" priority="7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/>
</worksheet>
</file>

<file path=xl/worksheets/sheet13.xml><?xml version="1.0" encoding="utf-8"?>
<worksheet xmlns="http://schemas.openxmlformats.org/spreadsheetml/2006/main">
  <sheetPr codeName="Sheet12">
    <outlinePr summaryBelow="1" summaryRight="1"/>
    <pageSetUpPr fitToPage="1"/>
  </sheetPr>
  <dimension ref="A1:R65"/>
  <sheetViews>
    <sheetView zoomScale="70" zoomScaleNormal="70" workbookViewId="0">
      <selection activeCell="S22" sqref="S22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452" min="11" max="11"/>
    <col width="8.75" customWidth="1" style="2" min="12" max="16384"/>
  </cols>
  <sheetData>
    <row r="1"/>
    <row r="2" ht="15" customHeight="1" s="462" thickBot="1">
      <c r="B2" s="491" t="n">
        <v>46180</v>
      </c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285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40.5" customHeight="1" s="462">
      <c r="A5" s="423">
        <f>IF(B5="","",COUNTA($B$5:B5))</f>
        <v/>
      </c>
      <c r="B5" s="57" t="n"/>
      <c r="C5" s="63" t="n"/>
      <c r="D5" s="441" t="n"/>
      <c r="E5" s="441" t="n"/>
      <c r="F5" s="272" t="n"/>
      <c r="G5" s="65" t="n"/>
      <c r="H5" s="262" t="n"/>
      <c r="I5" s="320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246" t="n"/>
      <c r="E6" s="441" t="n"/>
      <c r="F6" s="274" t="n"/>
      <c r="G6" s="65" t="n"/>
      <c r="H6" s="262" t="n"/>
      <c r="I6" s="287" t="n"/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441" t="n"/>
      <c r="C7" s="440" t="n"/>
      <c r="D7" s="441" t="n"/>
      <c r="E7" s="64" t="n"/>
      <c r="F7" s="57" t="n"/>
      <c r="G7" s="65" t="n"/>
      <c r="H7" s="262" t="n"/>
      <c r="I7" s="287" t="n"/>
      <c r="J7" s="57" t="n"/>
      <c r="K7" s="72" t="n"/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441" t="n"/>
      <c r="C8" s="440" t="n"/>
      <c r="D8" s="441" t="n"/>
      <c r="E8" s="441" t="n"/>
      <c r="F8" s="57" t="n"/>
      <c r="G8" s="65" t="n"/>
      <c r="H8" s="279" t="n"/>
      <c r="I8" s="287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36" customHeight="1" s="462">
      <c r="A9" s="423">
        <f>IF(B9="","",COUNTA($B$5:B9))</f>
        <v/>
      </c>
      <c r="B9" s="441" t="n"/>
      <c r="C9" s="440" t="n"/>
      <c r="D9" s="441" t="n"/>
      <c r="E9" s="64" t="n"/>
      <c r="F9" s="57" t="n"/>
      <c r="G9" s="65" t="n"/>
      <c r="H9" s="279" t="n"/>
      <c r="I9" s="287" t="n"/>
      <c r="J9" s="57" t="n"/>
      <c r="K9" s="72" t="n"/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441" t="n"/>
      <c r="C10" s="63" t="n"/>
      <c r="D10" s="246" t="n"/>
      <c r="E10" s="441" t="n"/>
      <c r="F10" s="274" t="n"/>
      <c r="G10" s="65" t="n"/>
      <c r="H10" s="262" t="n"/>
      <c r="I10" s="321">
        <f>IFERROR(_xlfn.XLOOKUP(H10,案件・ドライバー一覧!$L$3:$L$17,案件・ドライバー一覧!$M$3:$M$17,""),"")</f>
        <v/>
      </c>
      <c r="J10" s="57" t="n"/>
      <c r="K10" s="72" t="n"/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441" t="n"/>
      <c r="C11" s="63" t="n"/>
      <c r="D11" s="441" t="n"/>
      <c r="E11" s="441" t="n"/>
      <c r="F11" s="275" t="n"/>
      <c r="G11" s="65" t="n"/>
      <c r="H11" s="262" t="n"/>
      <c r="I11" s="287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273" t="n"/>
      <c r="E12" s="63" t="n"/>
      <c r="F12" s="274" t="n"/>
      <c r="G12" s="66" t="n"/>
      <c r="H12" s="262" t="n"/>
      <c r="I12" s="286" t="n"/>
      <c r="J12" s="420" t="n"/>
      <c r="K12" s="73" t="n"/>
      <c r="L12" s="61" t="n"/>
      <c r="M12" s="449" t="n"/>
      <c r="N12" s="449" t="n"/>
      <c r="O12" s="449" t="n"/>
      <c r="P12" s="449" t="n"/>
      <c r="Q12" s="415" t="n"/>
    </row>
    <row r="13" ht="27" customHeight="1" s="462">
      <c r="A13" s="423">
        <f>IF(B13="","",COUNTA($B$5:B13))</f>
        <v/>
      </c>
      <c r="B13" s="441" t="n"/>
      <c r="C13" s="63" t="n"/>
      <c r="D13" s="441" t="n"/>
      <c r="E13" s="441" t="n"/>
      <c r="F13" s="57" t="n"/>
      <c r="G13" s="59" t="n"/>
      <c r="H13" s="281" t="n"/>
      <c r="I13" s="288" t="n"/>
      <c r="J13" s="57" t="n"/>
      <c r="K13" s="73" t="n"/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441" t="n"/>
      <c r="C14" s="440" t="n"/>
      <c r="D14" s="441" t="n"/>
      <c r="E14" s="441" t="n"/>
      <c r="F14" s="274" t="n"/>
      <c r="G14" s="65" t="n"/>
      <c r="H14" s="262" t="n"/>
      <c r="I14" s="321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274" t="n"/>
      <c r="G15" s="65" t="n"/>
      <c r="H15" s="262" t="n"/>
      <c r="I15" s="287" t="n"/>
      <c r="J15" s="57" t="n"/>
      <c r="K15" s="72" t="n"/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441" t="n"/>
      <c r="C16" s="63" t="n"/>
      <c r="D16" s="441" t="n"/>
      <c r="E16" s="441" t="n"/>
      <c r="F16" s="275" t="n"/>
      <c r="G16" s="59" t="n"/>
      <c r="H16" s="262" t="n"/>
      <c r="I16" s="287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</row>
    <row r="17" ht="27" customHeight="1" s="462">
      <c r="A17" s="423">
        <f>IF(B17="","",COUNTA($B$5:B17))</f>
        <v/>
      </c>
      <c r="B17" s="441" t="n"/>
      <c r="C17" s="440" t="n"/>
      <c r="D17" s="441" t="n"/>
      <c r="E17" s="440" t="n"/>
      <c r="F17" s="274" t="n"/>
      <c r="G17" s="65" t="n"/>
      <c r="H17" s="279" t="n"/>
      <c r="I17" s="28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.75" customHeight="1" s="462">
      <c r="A18" s="423">
        <f>IF(B18="","",COUNTA($B$5:B18))</f>
        <v/>
      </c>
      <c r="B18" s="420" t="n"/>
      <c r="C18" s="420" t="n"/>
      <c r="D18" s="420" t="n"/>
      <c r="E18" s="420" t="n"/>
      <c r="F18" s="420" t="n"/>
      <c r="G18" s="69" t="n"/>
      <c r="H18" s="70" t="n"/>
      <c r="I18" s="289" t="n"/>
      <c r="J18" s="420" t="n"/>
      <c r="K18" s="2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</row>
    <row r="19" ht="27" customHeight="1" s="462">
      <c r="B19" s="18" t="n"/>
      <c r="C19" s="18" t="n"/>
      <c r="D19" s="18" t="n"/>
      <c r="E19" s="18" t="n"/>
      <c r="F19" s="18" t="n"/>
      <c r="G19" s="19" t="n"/>
      <c r="H19" s="33" t="n"/>
      <c r="I19" s="18" t="n"/>
      <c r="J19" s="18" t="n"/>
      <c r="K19" s="18" t="n"/>
    </row>
    <row r="20" ht="27" customHeight="1" s="462" thickBot="1">
      <c r="K20" s="2" t="n"/>
    </row>
    <row r="21" ht="27" customHeight="1" s="462">
      <c r="B21" s="22" t="n"/>
      <c r="C21" s="25" t="n"/>
      <c r="D21" s="25" t="inlineStr">
        <is>
          <t>現在待機場所</t>
        </is>
      </c>
      <c r="E21" s="25" t="inlineStr">
        <is>
          <t>待機予定場所</t>
        </is>
      </c>
      <c r="F21" s="466" t="n"/>
      <c r="H21" s="375" t="inlineStr">
        <is>
          <t>目標距離</t>
        </is>
      </c>
      <c r="I21" s="465" t="n"/>
      <c r="J21" s="467" t="n"/>
      <c r="K21" s="377" t="n">
        <v>550</v>
      </c>
    </row>
    <row r="22" ht="27" customHeight="1" s="462" thickBot="1">
      <c r="B22" s="26" t="inlineStr">
        <is>
          <t>2(255)</t>
        </is>
      </c>
      <c r="C22" s="21" t="inlineStr">
        <is>
          <t>山岸</t>
        </is>
      </c>
      <c r="D22" s="34" t="n"/>
      <c r="E22" s="34" t="n"/>
      <c r="F22" s="466" t="n"/>
      <c r="H22" s="468" t="n"/>
      <c r="I22" s="477" t="n"/>
      <c r="J22" s="469" t="n"/>
      <c r="K22" s="470" t="n"/>
    </row>
    <row r="23">
      <c r="B23" s="26" t="inlineStr">
        <is>
          <t>8(254)</t>
        </is>
      </c>
      <c r="C23" s="21" t="inlineStr">
        <is>
          <t>砂川</t>
        </is>
      </c>
      <c r="D23" s="35" t="n"/>
      <c r="E23" s="35" t="n"/>
      <c r="F23" s="466" t="n"/>
      <c r="H23" s="368" t="inlineStr">
        <is>
          <t>残距離</t>
        </is>
      </c>
      <c r="J23" s="471" t="n"/>
      <c r="K23" s="354">
        <f>550-SUM(L3:L18)-SUM(#REF!)</f>
        <v/>
      </c>
    </row>
    <row r="24" ht="14.25" customHeight="1" s="462" thickBot="1">
      <c r="B24" s="26" t="inlineStr">
        <is>
          <t>9(256)</t>
        </is>
      </c>
      <c r="C24" s="21" t="inlineStr">
        <is>
          <t>前川</t>
        </is>
      </c>
      <c r="D24" s="35" t="n"/>
      <c r="E24" s="35" t="n"/>
      <c r="F24" s="466" t="n"/>
      <c r="H24" s="468" t="n"/>
      <c r="I24" s="477" t="n"/>
      <c r="J24" s="469" t="n"/>
      <c r="K24" s="472" t="n"/>
    </row>
    <row r="25" ht="14.25" customHeight="1" s="462" thickBot="1">
      <c r="B25" s="26" t="inlineStr">
        <is>
          <t>10(257)</t>
        </is>
      </c>
      <c r="C25" s="35" t="n"/>
      <c r="D25" s="35" t="n"/>
      <c r="E25" s="35" t="n"/>
      <c r="F25" s="466" t="n"/>
      <c r="K25" s="2" t="n"/>
    </row>
    <row r="26">
      <c r="B26" s="26" t="inlineStr">
        <is>
          <t>11(258)</t>
        </is>
      </c>
      <c r="C26" s="21" t="inlineStr">
        <is>
          <t>郡司</t>
        </is>
      </c>
      <c r="D26" s="35" t="n"/>
      <c r="E26" s="35" t="n"/>
      <c r="F26" s="466" t="n"/>
      <c r="H26" s="350" t="inlineStr">
        <is>
          <t>依頼件数</t>
        </is>
      </c>
      <c r="I26" s="465" t="n"/>
      <c r="J26" s="467" t="n"/>
      <c r="K26" s="354">
        <f>SUM(P3:P18)+SUM(SUM(#REF!))</f>
        <v/>
      </c>
    </row>
    <row r="27" ht="14.25" customHeight="1" s="462" thickBot="1">
      <c r="B27" s="26" t="inlineStr">
        <is>
          <t>12(736)</t>
        </is>
      </c>
      <c r="C27" s="21" t="n"/>
      <c r="D27" s="35" t="n"/>
      <c r="E27" s="35" t="n"/>
      <c r="F27" s="466" t="n"/>
      <c r="H27" s="468" t="n"/>
      <c r="I27" s="477" t="n"/>
      <c r="J27" s="469" t="n"/>
      <c r="K27" s="472" t="n"/>
    </row>
    <row r="28" ht="17.25" customHeight="1" s="462">
      <c r="B28" s="26" t="inlineStr">
        <is>
          <t>13(737)</t>
        </is>
      </c>
      <c r="C28" s="21" t="n"/>
      <c r="D28" s="35" t="n"/>
      <c r="E28" s="35" t="n"/>
      <c r="F28" s="466" t="n"/>
      <c r="H28" s="38" t="n"/>
      <c r="I28" s="38" t="n"/>
      <c r="J28" s="38" t="n"/>
      <c r="K28" s="39" t="n"/>
    </row>
    <row r="29" ht="17.25" customHeight="1" s="462">
      <c r="B29" s="40" t="inlineStr">
        <is>
          <t>14(738)</t>
        </is>
      </c>
      <c r="C29" s="21" t="inlineStr">
        <is>
          <t>辻井</t>
        </is>
      </c>
      <c r="D29" s="35" t="n"/>
      <c r="E29" s="35" t="n"/>
      <c r="F29" s="466" t="n"/>
      <c r="H29" s="38" t="n"/>
      <c r="I29" s="38" t="n"/>
      <c r="J29" s="38" t="n"/>
      <c r="K29" s="39" t="n"/>
    </row>
    <row r="30" ht="17.25" customHeight="1" s="462">
      <c r="B30" s="41" t="n"/>
      <c r="C30" s="42" t="n"/>
      <c r="D30" s="43" t="n"/>
      <c r="E30" s="44" t="n"/>
      <c r="F30" s="349" t="n"/>
      <c r="H30" s="38" t="n"/>
      <c r="I30" s="38" t="n"/>
      <c r="J30" s="38" t="n"/>
      <c r="K30" s="39" t="n"/>
    </row>
    <row r="31" ht="17.25" customHeight="1" s="462">
      <c r="B31" s="45" t="n">
        <v>7290</v>
      </c>
      <c r="C31" s="21" t="inlineStr">
        <is>
          <t>佐藤</t>
        </is>
      </c>
      <c r="D31" s="35" t="n"/>
      <c r="E31" s="348" t="n"/>
      <c r="F31" s="349" t="n"/>
      <c r="H31" s="38" t="n"/>
      <c r="I31" s="38" t="n"/>
      <c r="J31" s="38" t="n"/>
      <c r="K31" s="39" t="n"/>
    </row>
    <row r="32" ht="16.5" customHeight="1" s="462">
      <c r="B32" s="45" t="n">
        <v>7291</v>
      </c>
      <c r="C32" s="21" t="inlineStr">
        <is>
          <t>末次</t>
        </is>
      </c>
      <c r="D32" s="35" t="n"/>
      <c r="E32" s="348" t="n"/>
      <c r="F32" s="349" t="n"/>
      <c r="H32" s="38" t="n"/>
      <c r="I32" s="38" t="n"/>
      <c r="J32" s="38" t="n"/>
      <c r="K32" s="39" t="n"/>
    </row>
    <row r="33" ht="16.5" customHeight="1" s="462">
      <c r="B33" s="41" t="n"/>
      <c r="C33" s="42" t="n"/>
      <c r="D33" s="44" t="n"/>
      <c r="E33" s="44" t="n"/>
      <c r="F33" s="349" t="n"/>
      <c r="H33" s="38" t="n"/>
      <c r="I33" s="38" t="n"/>
      <c r="J33" s="38" t="n"/>
      <c r="K33" s="39" t="n"/>
    </row>
    <row r="34" ht="8.25" customHeight="1" s="462">
      <c r="B34" s="45" t="n">
        <v>333</v>
      </c>
      <c r="C34" s="21" t="inlineStr">
        <is>
          <t>金井/奥田</t>
        </is>
      </c>
      <c r="D34" s="35" t="n"/>
      <c r="E34" s="484" t="n"/>
      <c r="F34" s="469" t="n"/>
      <c r="H34" s="38" t="n"/>
      <c r="I34" s="38" t="n"/>
      <c r="J34" s="38" t="n"/>
      <c r="K34" s="39" t="n"/>
    </row>
    <row r="35" ht="17.25" customHeight="1" s="462">
      <c r="B35" s="46" t="n">
        <v>666</v>
      </c>
      <c r="C35" s="21" t="inlineStr">
        <is>
          <t>徳留</t>
        </is>
      </c>
      <c r="D35" s="35" t="n"/>
      <c r="E35" s="35" t="n"/>
      <c r="F35" s="466" t="n"/>
      <c r="H35" s="38" t="n"/>
      <c r="I35" s="38" t="n"/>
      <c r="J35" s="38" t="n"/>
      <c r="K35" s="39" t="n"/>
    </row>
    <row r="36" ht="17.25" customHeight="1" s="462">
      <c r="B36" s="46" t="n">
        <v>777</v>
      </c>
      <c r="C36" s="21" t="n"/>
      <c r="D36" s="35" t="n"/>
      <c r="E36" s="348" t="n"/>
      <c r="F36" s="349" t="n"/>
      <c r="H36" s="38" t="n"/>
      <c r="I36" s="38" t="n"/>
      <c r="J36" s="38" t="n"/>
      <c r="K36" s="39" t="n"/>
    </row>
    <row r="37" ht="9" customHeight="1" s="462">
      <c r="B37" s="47" t="n">
        <v>330</v>
      </c>
      <c r="C37" s="21" t="n"/>
      <c r="D37" s="35" t="n"/>
      <c r="E37" s="35" t="n"/>
      <c r="F37" s="466" t="n"/>
      <c r="H37" s="38" t="n"/>
      <c r="I37" s="38" t="n"/>
      <c r="J37" s="38" t="n"/>
      <c r="K37" s="39" t="n"/>
    </row>
    <row r="38" ht="16.5" customHeight="1" s="462">
      <c r="B38" s="47" t="n">
        <v>990</v>
      </c>
      <c r="C38" s="21" t="inlineStr">
        <is>
          <t>山原</t>
        </is>
      </c>
      <c r="D38" s="35" t="n"/>
      <c r="E38" s="35" t="n"/>
      <c r="F38" s="466" t="n"/>
      <c r="H38" s="38" t="n"/>
      <c r="I38" s="38" t="n"/>
      <c r="J38" s="38" t="n"/>
      <c r="K38" s="39" t="n"/>
    </row>
    <row r="39" ht="16.5" customHeight="1" s="462">
      <c r="K39" s="2" t="n"/>
    </row>
    <row r="40" ht="16.5" customHeight="1" s="462">
      <c r="C40" s="449" t="inlineStr">
        <is>
          <t>出発→到着</t>
        </is>
      </c>
      <c r="D40" s="420" t="inlineStr">
        <is>
          <t>備考</t>
        </is>
      </c>
      <c r="K40" s="2" t="n"/>
    </row>
    <row r="41" ht="16.5" customHeight="1" s="462">
      <c r="B41" s="27" t="inlineStr">
        <is>
          <t>①</t>
        </is>
      </c>
      <c r="C41" s="449" t="inlineStr">
        <is>
          <t>東→西</t>
        </is>
      </c>
      <c r="D41" s="485" t="inlineStr">
        <is>
          <t>①Aチーム優先</t>
        </is>
      </c>
      <c r="E41" s="486" t="n"/>
      <c r="F41" s="486" t="n"/>
      <c r="G41" s="486" t="n"/>
      <c r="H41" s="486" t="n"/>
      <c r="I41" s="486" t="n"/>
      <c r="J41" s="466" t="n"/>
      <c r="K41" s="2" t="n"/>
    </row>
    <row r="42" ht="16.5" customHeight="1" s="462">
      <c r="B42" s="27" t="inlineStr">
        <is>
          <t>②</t>
        </is>
      </c>
      <c r="C42" s="449" t="inlineStr">
        <is>
          <t>東→東</t>
        </is>
      </c>
      <c r="D42" s="485" t="inlineStr">
        <is>
          <t>②急ぎ案件の場合、道路状況も伝えてあげる。</t>
        </is>
      </c>
      <c r="E42" s="486" t="n"/>
      <c r="F42" s="486" t="n"/>
      <c r="G42" s="486" t="n"/>
      <c r="H42" s="486" t="n"/>
      <c r="I42" s="486" t="n"/>
      <c r="J42" s="466" t="n"/>
      <c r="K42" s="2" t="n"/>
    </row>
    <row r="43">
      <c r="B43" s="27" t="inlineStr">
        <is>
          <t>③</t>
        </is>
      </c>
      <c r="C43" s="449" t="inlineStr">
        <is>
          <t>西→東</t>
        </is>
      </c>
      <c r="D43" s="485" t="inlineStr">
        <is>
          <t>③各ドライバーの位置からの帰社のタイミング・夕方の配置</t>
        </is>
      </c>
      <c r="E43" s="486" t="n"/>
      <c r="F43" s="486" t="n"/>
      <c r="G43" s="486" t="n"/>
      <c r="H43" s="486" t="n"/>
      <c r="I43" s="486" t="n"/>
      <c r="J43" s="466" t="n"/>
      <c r="K43" s="2" t="n"/>
    </row>
    <row r="44">
      <c r="B44" s="27" t="inlineStr">
        <is>
          <t>④</t>
        </is>
      </c>
      <c r="C44" s="449" t="inlineStr">
        <is>
          <t>西→西</t>
        </is>
      </c>
      <c r="D44" s="485" t="inlineStr">
        <is>
          <t>④依頼を受ける際の、希望時間と現状の位置。行けるか行けないかの判断をしっかりと。</t>
        </is>
      </c>
      <c r="E44" s="486" t="n"/>
      <c r="F44" s="486" t="n"/>
      <c r="G44" s="486" t="n"/>
      <c r="H44" s="486" t="n"/>
      <c r="I44" s="486" t="n"/>
      <c r="J44" s="466" t="n"/>
      <c r="K44" s="2" t="n"/>
    </row>
    <row r="45">
      <c r="D45" s="485" t="inlineStr">
        <is>
          <t>⑤軽に乗るか乗らないかの判断に気を付ける。</t>
        </is>
      </c>
      <c r="E45" s="486" t="n"/>
      <c r="F45" s="486" t="n"/>
      <c r="G45" s="486" t="n"/>
      <c r="H45" s="486" t="n"/>
      <c r="I45" s="486" t="n"/>
      <c r="J45" s="466" t="n"/>
      <c r="K45" s="2" t="n"/>
    </row>
    <row r="46">
      <c r="B46" s="22" t="n"/>
      <c r="C46" s="420" t="inlineStr">
        <is>
          <t>現状配置(予測)</t>
        </is>
      </c>
      <c r="D46" s="485" t="inlineStr">
        <is>
          <t>⑥18/1日、1.8/1人、3件/1人</t>
        </is>
      </c>
      <c r="E46" s="486" t="n"/>
      <c r="F46" s="486" t="n"/>
      <c r="G46" s="486" t="n"/>
      <c r="H46" s="486" t="n"/>
      <c r="I46" s="486" t="n"/>
      <c r="J46" s="466" t="n"/>
      <c r="K46" s="2" t="n"/>
    </row>
    <row r="47">
      <c r="B47" s="420" t="inlineStr">
        <is>
          <t>西(神戸西・弥栄台)</t>
        </is>
      </c>
      <c r="C47" s="420" t="n"/>
      <c r="D47" s="485" t="inlineStr">
        <is>
          <t>⑦依頼書の見落とし(日付、入替、入出庫、場所）</t>
        </is>
      </c>
      <c r="E47" s="486" t="n"/>
      <c r="F47" s="486" t="n"/>
      <c r="G47" s="486" t="n"/>
      <c r="H47" s="486" t="n"/>
      <c r="I47" s="486" t="n"/>
      <c r="J47" s="466" t="n"/>
      <c r="K47" s="2" t="n"/>
    </row>
    <row r="48">
      <c r="B48" s="420" t="inlineStr">
        <is>
          <t>真ん中(摩耶・中央)</t>
        </is>
      </c>
      <c r="C48" s="420" t="n"/>
      <c r="D48" s="485" t="inlineStr">
        <is>
          <t>⑧3ｔ車と2ｔ車への振り方(西と東に振り分ける)</t>
        </is>
      </c>
      <c r="E48" s="486" t="n"/>
      <c r="F48" s="486" t="n"/>
      <c r="G48" s="486" t="n"/>
      <c r="H48" s="486" t="n"/>
      <c r="I48" s="486" t="n"/>
      <c r="J48" s="466" t="n"/>
      <c r="K48" s="2" t="n"/>
    </row>
    <row r="49">
      <c r="B49" s="420" t="inlineStr">
        <is>
          <t>東(尼崎・伊丹・西宮)</t>
        </is>
      </c>
      <c r="C49" s="420" t="n"/>
      <c r="D49" s="485" t="inlineStr">
        <is>
          <t>⑨</t>
        </is>
      </c>
      <c r="E49" s="486" t="n"/>
      <c r="F49" s="486" t="n"/>
      <c r="G49" s="486" t="n"/>
      <c r="H49" s="486" t="n"/>
      <c r="I49" s="486" t="n"/>
      <c r="J49" s="466" t="n"/>
      <c r="K49" s="2" t="n"/>
    </row>
    <row r="50">
      <c r="B50" s="48" t="inlineStr">
        <is>
          <t>極東(港区・淀屋橋)</t>
        </is>
      </c>
      <c r="C50" s="420" t="n"/>
      <c r="D50" s="49" t="n"/>
      <c r="E50" s="49" t="n"/>
      <c r="F50" s="49" t="n"/>
      <c r="G50" s="49" t="n"/>
      <c r="H50" s="49" t="n"/>
      <c r="I50" s="49" t="n"/>
      <c r="J50" s="49" t="n"/>
      <c r="K50" s="2" t="n"/>
    </row>
    <row r="51" ht="14.25" customHeight="1" s="462" thickBot="1">
      <c r="K51" s="2" t="n"/>
    </row>
    <row r="52">
      <c r="C52" s="473" t="inlineStr">
        <is>
          <t>合計額/380</t>
        </is>
      </c>
      <c r="D52" s="358">
        <f>SUM(G52)</f>
        <v/>
      </c>
      <c r="F52" s="360" t="inlineStr">
        <is>
          <t>売り上げ額</t>
        </is>
      </c>
      <c r="G52" s="362">
        <f>SUM(K4:K18)+SUM('6　7 (2)'!K4:K51)</f>
        <v/>
      </c>
      <c r="H52" s="465" t="n"/>
      <c r="I52" s="465" t="n"/>
      <c r="J52" s="467" t="n"/>
      <c r="K52" s="2" t="n"/>
    </row>
    <row r="53" ht="14.25" customHeight="1" s="462" thickBot="1">
      <c r="C53" s="474" t="n"/>
      <c r="D53" s="475" t="n"/>
      <c r="F53" s="468" t="n"/>
      <c r="G53" s="476" t="n"/>
      <c r="H53" s="477" t="n"/>
      <c r="I53" s="477" t="n"/>
      <c r="J53" s="469" t="n"/>
      <c r="K53" s="2" t="n"/>
    </row>
    <row r="54">
      <c r="C54" s="478" t="inlineStr">
        <is>
          <t>前日までの売上合計額</t>
        </is>
      </c>
      <c r="D54" s="479">
        <f>SUM('6　6'!D57:D58)</f>
        <v/>
      </c>
      <c r="K54" s="2" t="n"/>
    </row>
    <row r="55" ht="14.25" customHeight="1" s="462" thickBot="1">
      <c r="C55" s="480" t="n"/>
      <c r="D55" s="480" t="n"/>
      <c r="F55" s="420" t="inlineStr">
        <is>
          <t>金井（55)</t>
        </is>
      </c>
      <c r="G55" s="345" t="n"/>
      <c r="H55" s="466" t="n"/>
      <c r="I55" s="130" t="n"/>
      <c r="K55" s="2" t="n"/>
    </row>
    <row r="56" ht="14.25" customHeight="1" s="462" thickTop="1">
      <c r="D56" s="346">
        <f>D52+D54</f>
        <v/>
      </c>
      <c r="F56" s="420" t="inlineStr">
        <is>
          <t>粟津(55)</t>
        </is>
      </c>
      <c r="G56" s="340" t="n"/>
      <c r="H56" s="466" t="n"/>
      <c r="I56" s="131" t="n"/>
      <c r="K56" s="2" t="n"/>
    </row>
    <row r="57">
      <c r="F57" s="420" t="inlineStr">
        <is>
          <t>砂川(50)</t>
        </is>
      </c>
      <c r="G57" s="340" t="n"/>
      <c r="H57" s="466" t="n"/>
      <c r="I57" s="131" t="n"/>
      <c r="K57" s="2" t="n"/>
    </row>
    <row r="58">
      <c r="C58" s="2" t="inlineStr">
        <is>
          <t>高代</t>
        </is>
      </c>
      <c r="F58" s="420" t="inlineStr">
        <is>
          <t>前川(50)</t>
        </is>
      </c>
      <c r="G58" s="340" t="n"/>
      <c r="H58" s="466" t="n"/>
      <c r="I58" s="131" t="n"/>
      <c r="K58" s="2" t="n"/>
    </row>
    <row r="59">
      <c r="C59" s="2" t="inlineStr">
        <is>
          <t>返還代</t>
        </is>
      </c>
      <c r="F59" s="420" t="inlineStr">
        <is>
          <t>佐藤(50)</t>
        </is>
      </c>
      <c r="G59" s="345" t="n"/>
      <c r="H59" s="466" t="n"/>
      <c r="I59" s="130" t="n"/>
      <c r="K59" s="2" t="n"/>
    </row>
    <row r="60">
      <c r="C60" s="2" t="inlineStr">
        <is>
          <t>回収率</t>
        </is>
      </c>
      <c r="D60" s="50">
        <f>D59/D58</f>
        <v/>
      </c>
      <c r="F60" s="420" t="inlineStr">
        <is>
          <t>末次(55)</t>
        </is>
      </c>
      <c r="G60" s="340" t="n"/>
      <c r="H60" s="466" t="n"/>
      <c r="I60" s="131" t="n"/>
      <c r="K60" s="2" t="n"/>
    </row>
    <row r="61">
      <c r="C61" s="2" t="inlineStr">
        <is>
          <t>費</t>
        </is>
      </c>
      <c r="D61" s="2">
        <f>D58-D59</f>
        <v/>
      </c>
      <c r="F61" s="420" t="inlineStr">
        <is>
          <t>筒井(75)</t>
        </is>
      </c>
      <c r="G61" s="340" t="n"/>
      <c r="H61" s="466" t="n"/>
      <c r="I61" s="131" t="n"/>
      <c r="K61" s="2" t="n"/>
    </row>
    <row r="62">
      <c r="F62" s="420" t="inlineStr">
        <is>
          <t>山岸(40)</t>
        </is>
      </c>
      <c r="G62" s="340" t="n"/>
      <c r="H62" s="466" t="n"/>
      <c r="I62" s="131" t="n"/>
      <c r="K62" s="2" t="n"/>
    </row>
    <row r="63" ht="17.25" customHeight="1" s="462">
      <c r="B63" s="71" t="n"/>
      <c r="F63" s="420" t="inlineStr">
        <is>
          <t>多苗(30)</t>
        </is>
      </c>
      <c r="G63" s="340" t="n"/>
      <c r="H63" s="466" t="n"/>
      <c r="I63" s="131" t="n"/>
      <c r="K63" s="2" t="n"/>
      <c r="L63" s="2" t="inlineStr">
        <is>
          <t> </t>
        </is>
      </c>
    </row>
    <row r="64">
      <c r="K64" s="2" t="n"/>
    </row>
    <row r="65">
      <c r="K65" s="2" t="n"/>
    </row>
    <row r="67" ht="23.25" customHeight="1" s="462"/>
  </sheetData>
  <mergeCells count="51">
    <mergeCell ref="Q16:R16"/>
    <mergeCell ref="G59:H59"/>
    <mergeCell ref="G52:J53"/>
    <mergeCell ref="Q3:R3"/>
    <mergeCell ref="K21:K22"/>
    <mergeCell ref="E24:F24"/>
    <mergeCell ref="Q12:R12"/>
    <mergeCell ref="K26:K27"/>
    <mergeCell ref="D52:D53"/>
    <mergeCell ref="E23:F23"/>
    <mergeCell ref="Q18:R18"/>
    <mergeCell ref="D42:J42"/>
    <mergeCell ref="G61:H61"/>
    <mergeCell ref="C54:C55"/>
    <mergeCell ref="H23:J24"/>
    <mergeCell ref="E35:F35"/>
    <mergeCell ref="B2:C2"/>
    <mergeCell ref="E38:F38"/>
    <mergeCell ref="E29:F29"/>
    <mergeCell ref="D44:J44"/>
    <mergeCell ref="H26:J27"/>
    <mergeCell ref="Q5:R5"/>
    <mergeCell ref="D56:D57"/>
    <mergeCell ref="G57:H57"/>
    <mergeCell ref="E28:F28"/>
    <mergeCell ref="G62:H62"/>
    <mergeCell ref="Q4:R4"/>
    <mergeCell ref="E34:F34"/>
    <mergeCell ref="H21:J22"/>
    <mergeCell ref="D46:J46"/>
    <mergeCell ref="C52:C53"/>
    <mergeCell ref="K23:K24"/>
    <mergeCell ref="D45:J45"/>
    <mergeCell ref="F52:F53"/>
    <mergeCell ref="E27:F27"/>
    <mergeCell ref="G58:H58"/>
    <mergeCell ref="E26:F26"/>
    <mergeCell ref="D49:J49"/>
    <mergeCell ref="D54:D55"/>
    <mergeCell ref="G55:H55"/>
    <mergeCell ref="D41:J41"/>
    <mergeCell ref="D48:J48"/>
    <mergeCell ref="E25:F25"/>
    <mergeCell ref="G63:H63"/>
    <mergeCell ref="D47:J47"/>
    <mergeCell ref="E37:F37"/>
    <mergeCell ref="E22:F22"/>
    <mergeCell ref="G60:H60"/>
    <mergeCell ref="D43:J43"/>
    <mergeCell ref="G56:H56"/>
    <mergeCell ref="E21:F21"/>
  </mergeCells>
  <conditionalFormatting sqref="L3:L18">
    <cfRule type="cellIs" priority="3" operator="greaterThan" dxfId="0">
      <formula>30</formula>
    </cfRule>
  </conditionalFormatting>
  <conditionalFormatting sqref="K23:K2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6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43" horizontalDpi="1200" verticalDpi="120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N98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18" sqref="L18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21.625" customWidth="1" style="2" min="4" max="4"/>
    <col width="18.875" customWidth="1" style="2" min="5" max="5"/>
    <col width="29.75" bestFit="1" customWidth="1" style="2" min="6" max="6"/>
    <col width="11.75" customWidth="1" style="2" min="7" max="7"/>
    <col width="6.75" customWidth="1" style="2" min="8" max="9"/>
    <col width="6.625" customWidth="1" style="2" min="10" max="10"/>
    <col width="20.25" customWidth="1" style="452" min="11" max="11"/>
    <col width="8.75" customWidth="1" style="2" min="12" max="12"/>
    <col width="20" customWidth="1" style="2" min="13" max="13"/>
    <col width="8.75" customWidth="1" style="2" min="14" max="16384"/>
  </cols>
  <sheetData>
    <row r="1"/>
    <row r="2" ht="15" customHeight="1" s="462" thickBot="1">
      <c r="B2" s="491" t="n">
        <v>46180</v>
      </c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n"/>
      <c r="M3" s="32" t="inlineStr">
        <is>
          <t>メモ</t>
        </is>
      </c>
      <c r="N3" s="464" t="n"/>
    </row>
    <row r="4" ht="27" customHeight="1" s="462">
      <c r="A4" s="423" t="n"/>
      <c r="B4" s="76" t="inlineStr">
        <is>
          <t>金井：10時</t>
        </is>
      </c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274" t="n"/>
      <c r="G5" s="441" t="n"/>
      <c r="H5" s="260" t="n"/>
      <c r="I5" s="316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</row>
    <row r="6" ht="27" customHeight="1" s="462">
      <c r="A6" s="423">
        <f>IF(B6="","",COUNTA($B$5:B6))</f>
        <v/>
      </c>
      <c r="B6" s="57" t="n"/>
      <c r="C6" s="441" t="n"/>
      <c r="D6" s="63" t="n"/>
      <c r="E6" s="441" t="n"/>
      <c r="F6" s="57" t="n"/>
      <c r="G6" s="134" t="n"/>
      <c r="H6" s="260" t="n"/>
      <c r="I6" s="316">
        <f>IFERROR(_xlfn.XLOOKUP(H6,案件・ドライバー一覧!$L$3:$L$17,案件・ドライバー一覧!$M$3:$M$17,""),"")</f>
        <v/>
      </c>
      <c r="J6" s="57" t="n"/>
      <c r="K6" s="72" t="n"/>
      <c r="L6" s="61" t="n"/>
      <c r="M6" s="449" t="n"/>
    </row>
    <row r="7" ht="36" customHeight="1" s="462">
      <c r="A7" s="423">
        <f>IF(B7="","",COUNTA($B$5:B7))</f>
        <v/>
      </c>
      <c r="B7" s="57" t="n"/>
      <c r="C7" s="441" t="n"/>
      <c r="D7" s="441" t="n"/>
      <c r="E7" s="266" t="n"/>
      <c r="F7" s="274" t="n"/>
      <c r="G7" s="441" t="n"/>
      <c r="H7" s="260" t="n"/>
      <c r="I7" s="316">
        <f>IFERROR(_xlfn.XLOOKUP(H7,案件・ドライバー一覧!$L$3:$L$17,案件・ドライバー一覧!$M$3:$M$17,""),"")</f>
        <v/>
      </c>
      <c r="J7" s="57" t="n"/>
      <c r="K7" s="72" t="n"/>
      <c r="L7" s="61" t="n"/>
      <c r="M7" s="449" t="n"/>
      <c r="N7" s="449" t="n"/>
    </row>
    <row r="8" ht="32.25" customHeight="1" s="462">
      <c r="A8" s="423">
        <f>IF(B8="","",COUNTA($B$5:B8))</f>
        <v/>
      </c>
      <c r="B8" s="57" t="n"/>
      <c r="C8" s="441" t="n"/>
      <c r="D8" s="63" t="n"/>
      <c r="E8" s="441" t="n"/>
      <c r="F8" s="275" t="n"/>
      <c r="G8" s="441" t="n"/>
      <c r="H8" s="260" t="n"/>
      <c r="I8" s="316">
        <f>IFERROR(_xlfn.XLOOKUP(H8,案件・ドライバー一覧!$L$3:$L$17,案件・ドライバー一覧!$M$3:$M$17,""),"")</f>
        <v/>
      </c>
      <c r="J8" s="57" t="n"/>
      <c r="K8" s="72" t="n"/>
      <c r="L8" s="61" t="n"/>
      <c r="M8" s="449" t="n"/>
      <c r="N8" s="449" t="n"/>
    </row>
    <row r="9" ht="40.5" customHeight="1" s="462">
      <c r="A9" s="423">
        <f>IF(B9="","",COUNTA($B$5:B9))</f>
        <v/>
      </c>
      <c r="B9" s="441" t="n"/>
      <c r="C9" s="441" t="n"/>
      <c r="D9" s="441" t="n"/>
      <c r="E9" s="441" t="n"/>
      <c r="F9" s="274" t="n"/>
      <c r="G9" s="65" t="n"/>
      <c r="H9" s="260" t="n"/>
      <c r="I9" s="316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</row>
    <row r="10" ht="27" customHeight="1" s="462">
      <c r="A10" s="423">
        <f>IF(B10="","",COUNTA($B$5:B10))</f>
        <v/>
      </c>
      <c r="B10" s="57" t="n"/>
      <c r="C10" s="441" t="n"/>
      <c r="D10" s="63" t="n"/>
      <c r="E10" s="441" t="n"/>
      <c r="F10" s="275" t="n"/>
      <c r="G10" s="65" t="n"/>
      <c r="H10" s="260" t="n"/>
      <c r="I10" s="316">
        <f>IFERROR(_xlfn.XLOOKUP(H10,案件・ドライバー一覧!$L$3:$L$17,案件・ドライバー一覧!$M$3:$M$17,""),"")</f>
        <v/>
      </c>
      <c r="J10" s="57" t="n"/>
      <c r="K10" s="72" t="n"/>
      <c r="L10" s="61" t="n"/>
      <c r="M10" s="449" t="n"/>
      <c r="N10" s="449" t="n"/>
    </row>
    <row r="11" ht="27" customHeight="1" s="462">
      <c r="A11" s="423">
        <f>IF(B11="","",COUNTA($B$5:B11))</f>
        <v/>
      </c>
      <c r="B11" s="57" t="n"/>
      <c r="C11" s="441" t="n"/>
      <c r="D11" s="63" t="n"/>
      <c r="E11" s="441" t="n"/>
      <c r="F11" s="274" t="n"/>
      <c r="G11" s="441" t="n"/>
      <c r="H11" s="260" t="n"/>
      <c r="I11" s="316">
        <f>IFERROR(_xlfn.XLOOKUP(H11,案件・ドライバー一覧!$L$3:$L$17,案件・ドライバー一覧!$M$3:$M$17,""),"")</f>
        <v/>
      </c>
      <c r="J11" s="57" t="n"/>
      <c r="K11" s="72" t="n"/>
      <c r="L11" s="61" t="n"/>
      <c r="M11" s="449" t="n"/>
      <c r="N11" s="449" t="n"/>
    </row>
    <row r="12" ht="27" customHeight="1" s="462">
      <c r="A12" s="423">
        <f>IF(B12="","",COUNTA($B$5:B12))</f>
        <v/>
      </c>
      <c r="B12" s="57" t="n"/>
      <c r="C12" s="64" t="n"/>
      <c r="D12" s="441" t="n"/>
      <c r="E12" s="63" t="n"/>
      <c r="F12" s="276" t="n"/>
      <c r="G12" s="59" t="n"/>
      <c r="H12" s="260" t="n"/>
      <c r="I12" s="316">
        <f>IFERROR(_xlfn.XLOOKUP(H12,案件・ドライバー一覧!$L$3:$L$17,案件・ドライバー一覧!$M$3:$M$17,""),"")</f>
        <v/>
      </c>
      <c r="J12" s="57" t="n"/>
      <c r="K12" s="72" t="n"/>
      <c r="L12" s="61" t="n"/>
      <c r="M12" s="449" t="n"/>
      <c r="N12" s="449" t="n"/>
    </row>
    <row r="13" ht="27.75" customHeight="1" s="462">
      <c r="A13" s="423">
        <f>IF(B13="","",COUNTA($B$5:B13))</f>
        <v/>
      </c>
      <c r="B13" s="57" t="n"/>
      <c r="C13" s="63" t="n"/>
      <c r="D13" s="64" t="n"/>
      <c r="E13" s="441" t="n"/>
      <c r="F13" s="274" t="n"/>
      <c r="G13" s="66" t="n"/>
      <c r="H13" s="260" t="n"/>
      <c r="I13" s="317">
        <f>IFERROR(_xlfn.XLOOKUP(H13,案件・ドライバー一覧!$L$3:$L$17,案件・ドライバー一覧!$M$3:$M$17,""),"")</f>
        <v/>
      </c>
      <c r="J13" s="420" t="n"/>
      <c r="K13" s="72" t="n"/>
      <c r="L13" s="61" t="n"/>
      <c r="M13" s="449" t="n"/>
    </row>
    <row r="14" ht="27.75" customHeight="1" s="462">
      <c r="A14" s="423">
        <f>IF(B14="","",COUNTA($B$5:B14))</f>
        <v/>
      </c>
      <c r="B14" s="57" t="n"/>
      <c r="C14" s="63" t="n"/>
      <c r="D14" s="64" t="n"/>
      <c r="E14" s="63" t="n"/>
      <c r="F14" s="275" t="n"/>
      <c r="G14" s="66" t="n"/>
      <c r="H14" s="260" t="n"/>
      <c r="I14" s="316">
        <f>IFERROR(_xlfn.XLOOKUP(H14,案件・ドライバー一覧!$L$3:$L$17,案件・ドライバー一覧!$M$3:$M$17,""),"")</f>
        <v/>
      </c>
      <c r="J14" s="57" t="n"/>
      <c r="K14" s="72" t="n"/>
      <c r="L14" s="61" t="n"/>
      <c r="M14" s="449" t="n"/>
      <c r="N14" s="449" t="n"/>
    </row>
    <row r="15" ht="27.75" customHeight="1" s="462">
      <c r="A15" s="423">
        <f>IF(B15="","",COUNTA($B$5:B15))</f>
        <v/>
      </c>
      <c r="B15" s="57" t="n"/>
      <c r="C15" s="441" t="n"/>
      <c r="D15" s="64" t="n"/>
      <c r="E15" s="441" t="n"/>
      <c r="F15" s="57" t="n"/>
      <c r="G15" s="66" t="n"/>
      <c r="H15" s="260" t="n"/>
      <c r="I15" s="316">
        <f>IFERROR(_xlfn.XLOOKUP(H15,案件・ドライバー一覧!$L$3:$L$17,案件・ドライバー一覧!$M$3:$M$17,""),"")</f>
        <v/>
      </c>
      <c r="J15" s="57" t="n"/>
      <c r="K15" s="72" t="n"/>
      <c r="L15" s="61" t="n"/>
      <c r="M15" s="449" t="n"/>
      <c r="N15" s="449" t="n"/>
    </row>
    <row r="16" ht="40.5" customHeight="1" s="462">
      <c r="A16" s="423">
        <f>IF(B16="","",COUNTA($B$5:B16))</f>
        <v/>
      </c>
      <c r="B16" s="57" t="n"/>
      <c r="C16" s="441" t="n"/>
      <c r="D16" s="63" t="n"/>
      <c r="E16" s="441" t="n"/>
      <c r="F16" s="274" t="n"/>
      <c r="G16" s="209" t="n"/>
      <c r="H16" s="260" t="n"/>
      <c r="I16" s="290" t="n"/>
      <c r="J16" s="57" t="n"/>
      <c r="K16" s="73" t="n"/>
      <c r="L16" s="61" t="n"/>
      <c r="M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274" t="n"/>
      <c r="G17" s="65" t="n"/>
      <c r="H17" s="260" t="n"/>
      <c r="I17" s="291" t="n"/>
      <c r="J17" s="57" t="n"/>
      <c r="K17" s="72" t="n"/>
      <c r="L17" s="61" t="n"/>
      <c r="M17" s="449" t="n"/>
      <c r="N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275" t="n"/>
      <c r="G18" s="65" t="n"/>
      <c r="H18" s="260" t="n"/>
      <c r="I18" s="291" t="n"/>
      <c r="J18" s="57" t="n"/>
      <c r="K18" s="72" t="n"/>
      <c r="L18" s="61" t="n"/>
      <c r="M18" s="449" t="n"/>
      <c r="N18" s="449" t="n"/>
    </row>
    <row r="19" ht="27.75" customHeight="1" s="462">
      <c r="A19" s="423">
        <f>IF(B19="","",COUNTA($B$5:B19))</f>
        <v/>
      </c>
      <c r="B19" s="441" t="n"/>
      <c r="C19" s="63" t="n"/>
      <c r="D19" s="441" t="n"/>
      <c r="E19" s="441" t="n"/>
      <c r="F19" s="274" t="n"/>
      <c r="G19" s="59" t="n"/>
      <c r="H19" s="260" t="n"/>
      <c r="I19" s="291" t="n"/>
      <c r="J19" s="57" t="n"/>
      <c r="K19" s="72" t="n"/>
      <c r="L19" s="61" t="n"/>
      <c r="M19" s="449" t="n"/>
      <c r="N19" s="449" t="n"/>
    </row>
    <row r="20" ht="27" customHeight="1" s="462">
      <c r="A20" s="423">
        <f>IF(B20="","",COUNTA($B$5:B20))</f>
        <v/>
      </c>
      <c r="B20" s="57" t="n"/>
      <c r="C20" s="441" t="n"/>
      <c r="D20" s="63" t="n"/>
      <c r="E20" s="441" t="n"/>
      <c r="F20" s="57" t="n"/>
      <c r="G20" s="134" t="n"/>
      <c r="H20" s="260" t="n"/>
      <c r="I20" s="291" t="n"/>
      <c r="J20" s="57" t="n"/>
      <c r="K20" s="73" t="n"/>
      <c r="L20" s="61" t="n"/>
      <c r="M20" s="449" t="n"/>
      <c r="N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274" t="n"/>
      <c r="G21" s="66" t="n"/>
      <c r="H21" s="260" t="n"/>
      <c r="I21" s="293" t="n"/>
      <c r="J21" s="420" t="n"/>
      <c r="K21" s="72" t="n"/>
      <c r="L21" s="61" t="n"/>
      <c r="M21" s="449" t="n"/>
    </row>
    <row r="22" ht="36" customHeight="1" s="462">
      <c r="A22" s="423">
        <f>IF(B22="","",COUNTA($B$5:B22))</f>
        <v/>
      </c>
      <c r="B22" s="57" t="n"/>
      <c r="C22" s="63" t="n"/>
      <c r="D22" s="441" t="n"/>
      <c r="E22" s="64" t="n"/>
      <c r="F22" s="274" t="n"/>
      <c r="G22" s="65" t="n"/>
      <c r="H22" s="260" t="n"/>
      <c r="I22" s="291" t="n"/>
      <c r="J22" s="57" t="n"/>
      <c r="K22" s="72" t="n"/>
      <c r="L22" s="61" t="n"/>
      <c r="M22" s="449" t="n"/>
      <c r="N22" s="449" t="n"/>
    </row>
    <row r="23" ht="28.5" customHeight="1" s="462">
      <c r="A23" s="423">
        <f>IF(B23="","",COUNTA($B$5:B23))</f>
        <v/>
      </c>
      <c r="B23" s="441" t="n"/>
      <c r="C23" s="440" t="n"/>
      <c r="D23" s="441" t="n"/>
      <c r="E23" s="441" t="n"/>
      <c r="F23" s="275" t="n"/>
      <c r="G23" s="65" t="n"/>
      <c r="H23" s="260" t="n"/>
      <c r="I23" s="291" t="n"/>
      <c r="J23" s="57" t="n"/>
      <c r="K23" s="72" t="n"/>
      <c r="L23" s="61" t="n"/>
      <c r="M23" s="449" t="n"/>
      <c r="N23" s="449" t="n"/>
    </row>
    <row r="24" ht="27" customHeight="1" s="462">
      <c r="A24" s="423">
        <f>IF(B24="","",COUNTA($B$5:B24))</f>
        <v/>
      </c>
      <c r="B24" s="57" t="n"/>
      <c r="C24" s="441" t="n"/>
      <c r="D24" s="441" t="n"/>
      <c r="E24" s="441" t="n"/>
      <c r="F24" s="57" t="n"/>
      <c r="G24" s="134" t="n"/>
      <c r="H24" s="260" t="n"/>
      <c r="I24" s="291" t="n"/>
      <c r="J24" s="57" t="n"/>
      <c r="K24" s="73" t="n"/>
      <c r="L24" s="61" t="n"/>
      <c r="M24" s="449" t="n"/>
      <c r="N24" s="449" t="n"/>
    </row>
    <row r="25" ht="27" customHeight="1" s="462">
      <c r="A25" s="423">
        <f>IF(B25="","",COUNTA($B$5:B25))</f>
        <v/>
      </c>
      <c r="B25" s="57" t="n"/>
      <c r="C25" s="63" t="n"/>
      <c r="D25" s="246" t="n"/>
      <c r="E25" s="441" t="n"/>
      <c r="F25" s="274" t="n"/>
      <c r="G25" s="65" t="n"/>
      <c r="H25" s="260" t="n"/>
      <c r="I25" s="290" t="n"/>
      <c r="J25" s="57" t="n"/>
      <c r="K25" s="72" t="n"/>
      <c r="L25" s="61" t="n"/>
      <c r="M25" s="449" t="n"/>
      <c r="N25" s="449" t="n"/>
    </row>
    <row r="26" ht="27" customHeight="1" s="462">
      <c r="A26" s="423">
        <f>IF(B26="","",COUNTA($B$5:B26))</f>
        <v/>
      </c>
      <c r="B26" s="57" t="n"/>
      <c r="C26" s="63" t="n"/>
      <c r="D26" s="63" t="n"/>
      <c r="E26" s="441" t="n"/>
      <c r="F26" s="274" t="n"/>
      <c r="G26" s="251" t="n"/>
      <c r="H26" s="260" t="n"/>
      <c r="I26" s="290" t="n"/>
      <c r="J26" s="57" t="n"/>
      <c r="K26" s="73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</row>
    <row r="27" ht="27" customHeight="1" s="462">
      <c r="A27" s="423">
        <f>IF(B27="","",COUNTA($B$5:B27))</f>
        <v/>
      </c>
      <c r="B27" s="57" t="n"/>
      <c r="C27" s="63" t="n"/>
      <c r="D27" s="64" t="n"/>
      <c r="E27" s="63" t="n"/>
      <c r="F27" s="274" t="n"/>
      <c r="G27" s="66" t="n"/>
      <c r="H27" s="260" t="n"/>
      <c r="I27" s="292" t="n"/>
      <c r="J27" s="420" t="n"/>
      <c r="K27" s="73" t="n"/>
      <c r="L27" s="61" t="n"/>
      <c r="M27" s="449" t="n"/>
    </row>
    <row r="28" ht="27.75" customHeight="1" s="462">
      <c r="A28" s="423">
        <f>IF(B28="","",COUNTA($B$5:B28))</f>
        <v/>
      </c>
      <c r="B28" s="441" t="n"/>
      <c r="C28" s="440" t="n"/>
      <c r="D28" s="441" t="n"/>
      <c r="E28" s="441" t="n"/>
      <c r="F28" s="275" t="n"/>
      <c r="G28" s="65" t="n"/>
      <c r="H28" s="260" t="n"/>
      <c r="I28" s="291" t="n"/>
      <c r="J28" s="57" t="n"/>
      <c r="K28" s="72" t="n"/>
      <c r="L28" s="61" t="n"/>
      <c r="M28" s="449" t="n"/>
      <c r="N28" s="449" t="n"/>
    </row>
    <row r="29" ht="27.75" customHeight="1" s="462">
      <c r="A29" s="423">
        <f>IF(B29="","",COUNTA($B$5:B29))</f>
        <v/>
      </c>
      <c r="B29" s="441" t="n"/>
      <c r="C29" s="441" t="n"/>
      <c r="D29" s="441" t="n"/>
      <c r="E29" s="441" t="n"/>
      <c r="F29" s="275" t="n"/>
      <c r="G29" s="134" t="n"/>
      <c r="H29" s="260" t="n"/>
      <c r="I29" s="291" t="n"/>
      <c r="J29" s="57" t="n"/>
      <c r="K29" s="72" t="n"/>
      <c r="L29" s="61" t="n"/>
      <c r="M29" s="449" t="n"/>
      <c r="N29" s="449" t="n"/>
    </row>
    <row r="30" ht="27" customHeight="1" s="462">
      <c r="A30" s="423">
        <f>IF(B30="","",COUNTA($B$5:B30))</f>
        <v/>
      </c>
      <c r="B30" s="57" t="n"/>
      <c r="C30" s="63" t="n"/>
      <c r="D30" s="441" t="n"/>
      <c r="E30" s="441" t="n"/>
      <c r="F30" s="275" t="n"/>
      <c r="G30" s="65" t="n"/>
      <c r="H30" s="260" t="n"/>
      <c r="I30" s="290" t="n"/>
      <c r="J30" s="57" t="n"/>
      <c r="K30" s="72" t="n"/>
      <c r="L30" s="61" t="n"/>
      <c r="M30" s="449" t="n"/>
      <c r="N30" s="449" t="n"/>
    </row>
    <row r="31" ht="27" customHeight="1" s="462">
      <c r="A31" s="423">
        <f>IF(B31="","",COUNTA($B$5:B31))</f>
        <v/>
      </c>
      <c r="B31" s="57" t="n"/>
      <c r="C31" s="63" t="n"/>
      <c r="D31" s="441" t="n"/>
      <c r="E31" s="441" t="n"/>
      <c r="F31" s="274" t="n"/>
      <c r="G31" s="65" t="n"/>
      <c r="H31" s="260" t="n"/>
      <c r="I31" s="291" t="n"/>
      <c r="J31" s="57" t="n"/>
      <c r="K31" s="72" t="n"/>
      <c r="L31" s="61" t="n"/>
      <c r="M31" s="449" t="n"/>
      <c r="N31" s="449" t="n"/>
    </row>
    <row r="32" ht="27.75" customHeight="1" s="462">
      <c r="A32" s="423">
        <f>IF(B32="","",COUNTA($B$5:B32))</f>
        <v/>
      </c>
      <c r="B32" s="441" t="n"/>
      <c r="C32" s="440" t="n"/>
      <c r="D32" s="440" t="n"/>
      <c r="E32" s="440" t="n"/>
      <c r="F32" s="275" t="n"/>
      <c r="G32" s="65" t="n"/>
      <c r="H32" s="260" t="n"/>
      <c r="I32" s="291" t="n"/>
      <c r="J32" s="57" t="n"/>
      <c r="K32" s="72" t="n"/>
      <c r="L32" s="61" t="n"/>
      <c r="M32" s="449" t="n"/>
      <c r="N32" s="449" t="n"/>
    </row>
    <row r="33" ht="27" customHeight="1" s="462">
      <c r="A33" s="423">
        <f>IF(B33="","",COUNTA($B$5:B33))</f>
        <v/>
      </c>
      <c r="B33" s="441" t="n"/>
      <c r="C33" s="63" t="n"/>
      <c r="D33" s="441" t="n"/>
      <c r="E33" s="441" t="n"/>
      <c r="F33" s="57" t="n"/>
      <c r="G33" s="65" t="n"/>
      <c r="H33" s="260" t="n"/>
      <c r="I33" s="291" t="n"/>
      <c r="J33" s="57" t="n"/>
      <c r="K33" s="73" t="n"/>
      <c r="L33" s="61" t="n"/>
      <c r="M33" s="449" t="n"/>
      <c r="N33" s="449" t="n"/>
    </row>
    <row r="34" ht="27" customHeight="1" s="462">
      <c r="A34" s="423">
        <f>IF(B34="","",COUNTA($B$5:B34))</f>
        <v/>
      </c>
      <c r="B34" s="57" t="n"/>
      <c r="C34" s="63" t="n"/>
      <c r="D34" s="252" t="n"/>
      <c r="E34" s="441" t="n"/>
      <c r="F34" s="274" t="n"/>
      <c r="G34" s="441" t="n"/>
      <c r="H34" s="260" t="n"/>
      <c r="I34" s="290" t="n"/>
      <c r="J34" s="57" t="n"/>
      <c r="K34" s="72" t="n"/>
      <c r="L34" s="61" t="n"/>
      <c r="M34" s="449" t="n"/>
      <c r="N34" s="449" t="n"/>
    </row>
    <row r="35" ht="27" customHeight="1" s="462">
      <c r="A35" s="423">
        <f>IF(B35="","",COUNTA($B$5:B35))</f>
        <v/>
      </c>
      <c r="B35" s="57" t="n"/>
      <c r="C35" s="441" t="n"/>
      <c r="D35" s="63" t="n"/>
      <c r="E35" s="441" t="n"/>
      <c r="F35" s="275" t="n"/>
      <c r="G35" s="441" t="n"/>
      <c r="H35" s="260" t="n"/>
      <c r="I35" s="291" t="n"/>
      <c r="J35" s="57" t="n"/>
      <c r="K35" s="72" t="n"/>
      <c r="L35" s="61" t="n"/>
      <c r="M35" s="449" t="n"/>
      <c r="N35" s="449" t="n"/>
    </row>
    <row r="36" ht="27.75" customHeight="1" s="462">
      <c r="A36" s="423">
        <f>IF(B36="","",COUNTA($B$5:B36))</f>
        <v/>
      </c>
      <c r="B36" s="57" t="n"/>
      <c r="C36" s="63" t="n"/>
      <c r="D36" s="441" t="n"/>
      <c r="E36" s="441" t="n"/>
      <c r="F36" s="274" t="n"/>
      <c r="G36" s="65" t="n"/>
      <c r="H36" s="260" t="n"/>
      <c r="I36" s="291" t="n"/>
      <c r="J36" s="57" t="n"/>
      <c r="K36" s="72" t="n"/>
      <c r="L36" s="61" t="n"/>
      <c r="M36" s="449" t="n"/>
      <c r="N36" s="449" t="n"/>
    </row>
    <row r="37" ht="29.25" customHeight="1" s="462">
      <c r="A37" s="423">
        <f>IF(B37="","",COUNTA($B$5:B37))</f>
        <v/>
      </c>
      <c r="B37" s="441" t="n"/>
      <c r="C37" s="441" t="n"/>
      <c r="D37" s="441" t="n"/>
      <c r="E37" s="441" t="n"/>
      <c r="F37" s="57" t="n"/>
      <c r="G37" s="59" t="n"/>
      <c r="H37" s="260" t="n"/>
      <c r="I37" s="291" t="n"/>
      <c r="J37" s="57" t="n"/>
      <c r="K37" s="73" t="n"/>
      <c r="L37" s="61" t="n"/>
      <c r="M37" s="449" t="n"/>
      <c r="N37" s="449" t="n"/>
    </row>
    <row r="38" ht="40.5" customHeight="1" s="462">
      <c r="A38" s="423">
        <f>IF(B38="","",COUNTA($B$5:B38))</f>
        <v/>
      </c>
      <c r="B38" s="57" t="n"/>
      <c r="C38" s="441" t="n"/>
      <c r="D38" s="63" t="n"/>
      <c r="E38" s="441" t="n"/>
      <c r="F38" s="57" t="n"/>
      <c r="G38" s="65" t="n"/>
      <c r="H38" s="260" t="n"/>
      <c r="I38" s="291" t="n"/>
      <c r="J38" s="57" t="n"/>
      <c r="K38" s="73" t="n"/>
      <c r="L38" s="61" t="n"/>
      <c r="M38" s="449" t="n"/>
      <c r="N38" s="449" t="n"/>
    </row>
    <row r="39" ht="27" customHeight="1" s="462">
      <c r="A39" s="423">
        <f>IF(B39="","",COUNTA($B$5:B39))</f>
        <v/>
      </c>
      <c r="B39" s="57" t="n"/>
      <c r="C39" s="63" t="n"/>
      <c r="D39" s="441" t="n"/>
      <c r="E39" s="441" t="n"/>
      <c r="F39" s="275" t="n"/>
      <c r="G39" s="65" t="n"/>
      <c r="H39" s="260" t="n"/>
      <c r="I39" s="290" t="n"/>
      <c r="J39" s="57" t="n"/>
      <c r="K39" s="72" t="n"/>
      <c r="L39" s="61" t="n"/>
      <c r="M39" s="449" t="n"/>
      <c r="N39" s="449" t="n"/>
    </row>
    <row r="40" ht="27" customHeight="1" s="462">
      <c r="A40" s="423">
        <f>IF(B40="","",COUNTA($B$5:B40))</f>
        <v/>
      </c>
      <c r="B40" s="57" t="n"/>
      <c r="C40" s="63" t="n"/>
      <c r="D40" s="441" t="n"/>
      <c r="E40" s="441" t="n"/>
      <c r="F40" s="274" t="n"/>
      <c r="G40" s="65" t="n"/>
      <c r="H40" s="260" t="n"/>
      <c r="I40" s="290" t="n"/>
      <c r="J40" s="57" t="n"/>
      <c r="K40" s="72" t="n"/>
      <c r="L40" s="61" t="n"/>
      <c r="M40" s="449" t="n"/>
      <c r="N40" s="449" t="n"/>
    </row>
    <row r="41" ht="36" customHeight="1" s="462">
      <c r="A41" s="423">
        <f>IF(B41="","",COUNTA($B$5:B41))</f>
        <v/>
      </c>
      <c r="B41" s="57" t="n"/>
      <c r="C41" s="62" t="n"/>
      <c r="D41" s="441" t="n"/>
      <c r="E41" s="441" t="n"/>
      <c r="F41" s="274" t="n"/>
      <c r="G41" s="65" t="n"/>
      <c r="H41" s="260" t="n"/>
      <c r="I41" s="291" t="n"/>
      <c r="J41" s="57" t="n"/>
      <c r="K41" s="72" t="n"/>
      <c r="L41" s="61" t="n"/>
      <c r="M41" s="449" t="n"/>
      <c r="N41" s="449" t="n"/>
    </row>
    <row r="42" ht="27" customHeight="1" s="462">
      <c r="A42" s="423">
        <f>IF(B42="","",COUNTA($B$5:B42))</f>
        <v/>
      </c>
      <c r="B42" s="441" t="n"/>
      <c r="C42" s="63" t="n"/>
      <c r="D42" s="441" t="n"/>
      <c r="E42" s="441" t="n"/>
      <c r="F42" s="57" t="n"/>
      <c r="G42" s="208" t="n"/>
      <c r="H42" s="260" t="n"/>
      <c r="I42" s="291" t="n"/>
      <c r="J42" s="57" t="n"/>
      <c r="K42" s="73" t="n"/>
      <c r="L42" s="61" t="n"/>
      <c r="M42" s="449" t="n"/>
      <c r="N42" s="449" t="n"/>
    </row>
    <row r="43" ht="27" customHeight="1" s="462">
      <c r="A43" s="423">
        <f>IF(B43="","",COUNTA($B$5:B43))</f>
        <v/>
      </c>
      <c r="B43" s="57" t="n"/>
      <c r="C43" s="63" t="n"/>
      <c r="D43" s="246" t="n"/>
      <c r="E43" s="64" t="n"/>
      <c r="F43" s="274" t="n"/>
      <c r="G43" s="258" t="n"/>
      <c r="H43" s="260" t="n"/>
      <c r="I43" s="290" t="n"/>
      <c r="J43" s="57" t="n"/>
      <c r="K43" s="72" t="n"/>
      <c r="L43" s="61" t="n"/>
      <c r="M43" s="449" t="n"/>
      <c r="N43" s="449" t="n"/>
    </row>
    <row r="44" ht="40.5" customHeight="1" s="462">
      <c r="A44" s="423">
        <f>IF(B44="","",COUNTA($B$5:B44))</f>
        <v/>
      </c>
      <c r="B44" s="57" t="n"/>
      <c r="C44" s="63" t="n"/>
      <c r="D44" s="441" t="n"/>
      <c r="E44" s="441" t="n"/>
      <c r="F44" s="275" t="n"/>
      <c r="G44" s="65" t="n"/>
      <c r="H44" s="260" t="n"/>
      <c r="I44" s="290" t="n"/>
      <c r="J44" s="57" t="n"/>
      <c r="K44" s="72" t="n"/>
      <c r="L44" s="61" t="n"/>
      <c r="M44" s="278" t="n"/>
      <c r="N44" s="449" t="n"/>
    </row>
    <row r="45" ht="27" customHeight="1" s="462">
      <c r="A45" s="423">
        <f>IF(B45="","",COUNTA($B$5:B45))</f>
        <v/>
      </c>
      <c r="B45" s="441" t="n"/>
      <c r="C45" s="63" t="n"/>
      <c r="D45" s="441" t="n"/>
      <c r="E45" s="441" t="n"/>
      <c r="F45" s="275" t="n"/>
      <c r="G45" s="59" t="n"/>
      <c r="H45" s="260" t="n"/>
      <c r="I45" s="291" t="n"/>
      <c r="J45" s="57" t="n"/>
      <c r="K45" s="73" t="n"/>
      <c r="L45" s="61" t="n"/>
      <c r="M45" s="449" t="n"/>
      <c r="N45" s="449" t="n"/>
    </row>
    <row r="46" ht="27" customHeight="1" s="462">
      <c r="A46" s="423">
        <f>IF(B46="","",COUNTA($B$5:B46))</f>
        <v/>
      </c>
      <c r="B46" s="441" t="n"/>
      <c r="C46" s="63" t="n"/>
      <c r="D46" s="441" t="n"/>
      <c r="E46" s="441" t="n"/>
      <c r="F46" s="57" t="n"/>
      <c r="G46" s="59" t="n"/>
      <c r="H46" s="260" t="n"/>
      <c r="I46" s="291" t="n"/>
      <c r="J46" s="57" t="n"/>
      <c r="K46" s="73" t="n"/>
      <c r="L46" s="61" t="n"/>
      <c r="M46" s="449" t="n"/>
      <c r="N46" s="449" t="n"/>
    </row>
    <row r="47" ht="27" customHeight="1" s="462">
      <c r="A47" s="423">
        <f>IF(B47="","",COUNTA($B$5:B47))</f>
        <v/>
      </c>
      <c r="B47" s="441" t="n"/>
      <c r="C47" s="63" t="n"/>
      <c r="D47" s="441" t="n"/>
      <c r="E47" s="441" t="n"/>
      <c r="F47" s="57" t="n"/>
      <c r="G47" s="59" t="n"/>
      <c r="H47" s="260" t="n"/>
      <c r="I47" s="291" t="n"/>
      <c r="J47" s="57" t="n"/>
      <c r="K47" s="73" t="n"/>
      <c r="L47" s="61" t="n"/>
      <c r="M47" s="449" t="n"/>
      <c r="N47" s="449" t="n"/>
    </row>
    <row r="48" ht="40.5" customHeight="1" s="462">
      <c r="A48" s="423">
        <f>IF(B48="","",COUNTA($B$5:B48))</f>
        <v/>
      </c>
      <c r="B48" s="57" t="n"/>
      <c r="C48" s="63" t="n"/>
      <c r="D48" s="441" t="n"/>
      <c r="E48" s="441" t="n"/>
      <c r="F48" s="275" t="n"/>
      <c r="G48" s="65" t="n"/>
      <c r="H48" s="260" t="n"/>
      <c r="I48" s="290" t="n"/>
      <c r="J48" s="57" t="n"/>
      <c r="K48" s="72" t="n"/>
      <c r="L48" s="61" t="n"/>
      <c r="M48" s="278" t="n"/>
      <c r="N48" s="449" t="n"/>
    </row>
    <row r="49" ht="36" customHeight="1" s="462">
      <c r="A49" s="423">
        <f>IF(B49="","",COUNTA($B$5:B49))</f>
        <v/>
      </c>
      <c r="B49" s="57" t="n"/>
      <c r="C49" s="62" t="n"/>
      <c r="D49" s="64" t="n"/>
      <c r="E49" s="441" t="n"/>
      <c r="F49" s="274" t="n"/>
      <c r="G49" s="66" t="n"/>
      <c r="H49" s="260" t="n"/>
      <c r="I49" s="291" t="n"/>
      <c r="J49" s="57" t="n"/>
      <c r="K49" s="72">
        <f t="array" ref="K49">IF(OR(H49="",L49=""),"",IFERROR(_xlfn.LET(_xlpm.vt,VLOOKUP(IFERROR(VALUE(LEFT(H49,FIND("＊",H49&amp;"＊")-1)),H49),運賃マスター!$A$22:$B$40,2,FALSE),_xlpm.d,L49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9" s="61" t="n"/>
      <c r="M49" s="449" t="n"/>
      <c r="N49" s="449" t="n"/>
    </row>
    <row r="50" ht="27" customHeight="1" s="462">
      <c r="A50" s="423">
        <f>IF(B50="","",COUNTA($B$4:B49))</f>
        <v/>
      </c>
      <c r="B50" s="441" t="n"/>
      <c r="C50" s="63" t="n"/>
      <c r="D50" s="440" t="n"/>
      <c r="E50" s="441" t="n"/>
      <c r="F50" s="57" t="n"/>
      <c r="G50" s="65" t="n"/>
      <c r="H50" s="438" t="n"/>
      <c r="I50" s="427" t="n"/>
      <c r="J50" s="57" t="n"/>
      <c r="K50" s="73" t="n"/>
      <c r="L50" s="61" t="n"/>
      <c r="M50" s="449" t="n"/>
      <c r="N50" s="449" t="n"/>
    </row>
    <row r="51" ht="27" customHeight="1" s="462">
      <c r="A51" s="423">
        <f>IF(B51="","",COUNTA($B$4:B50))</f>
        <v/>
      </c>
      <c r="B51" s="420" t="n"/>
      <c r="C51" s="420" t="n"/>
      <c r="D51" s="420" t="n"/>
      <c r="E51" s="420" t="n"/>
      <c r="F51" s="420" t="n"/>
      <c r="G51" s="69" t="n"/>
      <c r="H51" s="70" t="n"/>
      <c r="I51" s="70" t="n"/>
      <c r="J51" s="420" t="n"/>
      <c r="K51" s="22" t="n"/>
      <c r="L51" s="61" t="n"/>
      <c r="M51" s="449" t="n"/>
    </row>
    <row r="52">
      <c r="B52" s="18" t="n"/>
      <c r="C52" s="18" t="n"/>
      <c r="D52" s="18" t="n"/>
      <c r="E52" s="18" t="n"/>
      <c r="F52" s="18" t="n"/>
      <c r="G52" s="19" t="n"/>
      <c r="H52" s="33" t="n"/>
      <c r="I52" s="18" t="n"/>
      <c r="J52" s="18" t="n"/>
      <c r="K52" s="18" t="n"/>
    </row>
    <row r="53" ht="14.25" customHeight="1" s="462" thickBot="1">
      <c r="K53" s="2" t="n"/>
    </row>
    <row r="54">
      <c r="B54" s="22" t="n"/>
      <c r="C54" s="25" t="n"/>
      <c r="D54" s="25" t="inlineStr">
        <is>
          <t>現在待機場所</t>
        </is>
      </c>
      <c r="E54" s="25" t="inlineStr">
        <is>
          <t>待機予定場所</t>
        </is>
      </c>
      <c r="F54" s="466" t="n"/>
      <c r="H54" s="375" t="inlineStr">
        <is>
          <t>目標距離</t>
        </is>
      </c>
      <c r="I54" s="465" t="n"/>
      <c r="J54" s="467" t="n"/>
      <c r="K54" s="377" t="n">
        <v>550</v>
      </c>
    </row>
    <row r="55" ht="14.25" customHeight="1" s="462" thickBot="1">
      <c r="B55" s="26" t="inlineStr">
        <is>
          <t>2(255)</t>
        </is>
      </c>
      <c r="C55" s="21" t="inlineStr">
        <is>
          <t>山岸</t>
        </is>
      </c>
      <c r="D55" s="34" t="n"/>
      <c r="E55" s="34" t="n"/>
      <c r="F55" s="466" t="n"/>
      <c r="H55" s="468" t="n"/>
      <c r="I55" s="477" t="n"/>
      <c r="J55" s="469" t="n"/>
      <c r="K55" s="470" t="n"/>
    </row>
    <row r="56">
      <c r="B56" s="26" t="inlineStr">
        <is>
          <t>8(254)</t>
        </is>
      </c>
      <c r="C56" s="21" t="inlineStr">
        <is>
          <t>砂川</t>
        </is>
      </c>
      <c r="D56" s="35" t="n"/>
      <c r="E56" s="35" t="n"/>
      <c r="F56" s="466" t="n"/>
      <c r="H56" s="368" t="inlineStr">
        <is>
          <t>残距離</t>
        </is>
      </c>
      <c r="J56" s="471" t="n"/>
      <c r="K56" s="354">
        <f>550-SUM(L3:L51)-SUM(#REF!)</f>
        <v/>
      </c>
    </row>
    <row r="57" ht="14.25" customHeight="1" s="462" thickBot="1">
      <c r="B57" s="26" t="inlineStr">
        <is>
          <t>9(256)</t>
        </is>
      </c>
      <c r="C57" s="21" t="inlineStr">
        <is>
          <t>前川</t>
        </is>
      </c>
      <c r="D57" s="35" t="n"/>
      <c r="E57" s="35" t="n"/>
      <c r="F57" s="466" t="n"/>
      <c r="H57" s="468" t="n"/>
      <c r="I57" s="477" t="n"/>
      <c r="J57" s="469" t="n"/>
      <c r="K57" s="472" t="n"/>
    </row>
    <row r="58" ht="14.25" customHeight="1" s="462" thickBot="1">
      <c r="B58" s="26" t="inlineStr">
        <is>
          <t>10(257)</t>
        </is>
      </c>
      <c r="C58" s="35" t="n"/>
      <c r="D58" s="35" t="n"/>
      <c r="E58" s="35" t="n"/>
      <c r="F58" s="466" t="n"/>
      <c r="K58" s="2" t="n"/>
    </row>
    <row r="59">
      <c r="B59" s="26" t="inlineStr">
        <is>
          <t>11(258)</t>
        </is>
      </c>
      <c r="C59" s="21" t="inlineStr">
        <is>
          <t>郡司</t>
        </is>
      </c>
      <c r="D59" s="35" t="n"/>
      <c r="E59" s="35" t="n"/>
      <c r="F59" s="466" t="n"/>
      <c r="H59" s="350" t="inlineStr">
        <is>
          <t>依頼件数</t>
        </is>
      </c>
      <c r="I59" s="465" t="n"/>
      <c r="J59" s="467" t="n"/>
      <c r="K59" s="354">
        <f>SUM(#REF!)+SUM(SUM(#REF!))</f>
        <v/>
      </c>
    </row>
    <row r="60" ht="14.25" customHeight="1" s="462" thickBot="1">
      <c r="B60" s="26" t="inlineStr">
        <is>
          <t>12(736)</t>
        </is>
      </c>
      <c r="C60" s="21" t="n"/>
      <c r="D60" s="35" t="n"/>
      <c r="E60" s="35" t="n"/>
      <c r="F60" s="466" t="n"/>
      <c r="H60" s="468" t="n"/>
      <c r="I60" s="477" t="n"/>
      <c r="J60" s="469" t="n"/>
      <c r="K60" s="472" t="n"/>
    </row>
    <row r="61" ht="16.5" customHeight="1" s="462">
      <c r="B61" s="26" t="inlineStr">
        <is>
          <t>13(737)</t>
        </is>
      </c>
      <c r="C61" s="21" t="n"/>
      <c r="D61" s="35" t="n"/>
      <c r="E61" s="35" t="n"/>
      <c r="F61" s="466" t="n"/>
      <c r="H61" s="38" t="n"/>
      <c r="I61" s="38" t="n"/>
      <c r="J61" s="38" t="n"/>
      <c r="K61" s="39" t="n"/>
    </row>
    <row r="62" ht="16.5" customHeight="1" s="462">
      <c r="B62" s="40" t="inlineStr">
        <is>
          <t>14(738)</t>
        </is>
      </c>
      <c r="C62" s="21" t="inlineStr">
        <is>
          <t>辻井</t>
        </is>
      </c>
      <c r="D62" s="35" t="n"/>
      <c r="E62" s="35" t="n"/>
      <c r="F62" s="466" t="n"/>
      <c r="H62" s="38" t="n"/>
      <c r="I62" s="38" t="n"/>
      <c r="J62" s="38" t="n"/>
      <c r="K62" s="39" t="n"/>
    </row>
    <row r="63" ht="8.25" customHeight="1" s="462">
      <c r="B63" s="41" t="n"/>
      <c r="C63" s="42" t="n"/>
      <c r="D63" s="43" t="n"/>
      <c r="E63" s="44" t="n"/>
      <c r="F63" s="349" t="n"/>
      <c r="H63" s="38" t="n"/>
      <c r="I63" s="38" t="n"/>
      <c r="J63" s="38" t="n"/>
      <c r="K63" s="39" t="n"/>
    </row>
    <row r="64" ht="17.25" customHeight="1" s="462">
      <c r="B64" s="45" t="n">
        <v>7290</v>
      </c>
      <c r="C64" s="21" t="inlineStr">
        <is>
          <t>佐藤</t>
        </is>
      </c>
      <c r="D64" s="35" t="n"/>
      <c r="E64" s="348" t="n"/>
      <c r="F64" s="349" t="n"/>
      <c r="H64" s="38" t="n"/>
      <c r="I64" s="38" t="n"/>
      <c r="J64" s="38" t="n"/>
      <c r="K64" s="39" t="n"/>
    </row>
    <row r="65" ht="17.25" customHeight="1" s="462">
      <c r="B65" s="45" t="n">
        <v>7291</v>
      </c>
      <c r="C65" s="21" t="inlineStr">
        <is>
          <t>末次</t>
        </is>
      </c>
      <c r="D65" s="35" t="n"/>
      <c r="E65" s="348" t="n"/>
      <c r="F65" s="349" t="n"/>
      <c r="H65" s="38" t="n"/>
      <c r="I65" s="38" t="n"/>
      <c r="J65" s="38" t="n"/>
      <c r="K65" s="39" t="n"/>
    </row>
    <row r="66" ht="9" customHeight="1" s="462">
      <c r="B66" s="41" t="n"/>
      <c r="C66" s="42" t="n"/>
      <c r="D66" s="44" t="n"/>
      <c r="E66" s="44" t="n"/>
      <c r="F66" s="349" t="n"/>
      <c r="H66" s="38" t="n"/>
      <c r="I66" s="38" t="n"/>
      <c r="J66" s="38" t="n"/>
      <c r="K66" s="39" t="n"/>
    </row>
    <row r="67" ht="16.5" customHeight="1" s="462">
      <c r="B67" s="45" t="n">
        <v>333</v>
      </c>
      <c r="C67" s="21" t="inlineStr">
        <is>
          <t>金井/奥田</t>
        </is>
      </c>
      <c r="D67" s="35" t="n"/>
      <c r="E67" s="484" t="n"/>
      <c r="F67" s="469" t="n"/>
      <c r="H67" s="38" t="n"/>
      <c r="I67" s="38" t="n"/>
      <c r="J67" s="38" t="n"/>
      <c r="K67" s="39" t="n"/>
    </row>
    <row r="68" ht="16.5" customHeight="1" s="462">
      <c r="B68" s="46" t="n">
        <v>666</v>
      </c>
      <c r="C68" s="21" t="inlineStr">
        <is>
          <t>徳留</t>
        </is>
      </c>
      <c r="D68" s="35" t="n"/>
      <c r="E68" s="35" t="n"/>
      <c r="F68" s="466" t="n"/>
      <c r="H68" s="38" t="n"/>
      <c r="I68" s="38" t="n"/>
      <c r="J68" s="38" t="n"/>
      <c r="K68" s="39" t="n"/>
    </row>
    <row r="69" ht="16.5" customHeight="1" s="462">
      <c r="B69" s="46" t="n">
        <v>777</v>
      </c>
      <c r="C69" s="21" t="n"/>
      <c r="D69" s="35" t="n"/>
      <c r="E69" s="348" t="n"/>
      <c r="F69" s="349" t="n"/>
      <c r="H69" s="38" t="n"/>
      <c r="I69" s="38" t="n"/>
      <c r="J69" s="38" t="n"/>
      <c r="K69" s="39" t="n"/>
    </row>
    <row r="70" ht="16.5" customHeight="1" s="462">
      <c r="B70" s="47" t="n">
        <v>330</v>
      </c>
      <c r="C70" s="21" t="n"/>
      <c r="D70" s="35" t="n"/>
      <c r="E70" s="35" t="n"/>
      <c r="F70" s="466" t="n"/>
      <c r="H70" s="38" t="n"/>
      <c r="I70" s="38" t="n"/>
      <c r="J70" s="38" t="n"/>
      <c r="K70" s="39" t="n"/>
    </row>
    <row r="71" ht="16.5" customHeight="1" s="462">
      <c r="B71" s="47" t="n">
        <v>990</v>
      </c>
      <c r="C71" s="21" t="inlineStr">
        <is>
          <t>山原</t>
        </is>
      </c>
      <c r="D71" s="35" t="n"/>
      <c r="E71" s="35" t="n"/>
      <c r="F71" s="466" t="n"/>
      <c r="H71" s="38" t="n"/>
      <c r="I71" s="38" t="n"/>
      <c r="J71" s="38" t="n"/>
      <c r="K71" s="39" t="n"/>
    </row>
    <row r="72">
      <c r="K72" s="2" t="n"/>
    </row>
    <row r="73">
      <c r="C73" s="449" t="inlineStr">
        <is>
          <t>出発→到着</t>
        </is>
      </c>
      <c r="D73" s="420" t="inlineStr">
        <is>
          <t>備考</t>
        </is>
      </c>
      <c r="K73" s="2" t="n"/>
    </row>
    <row r="74">
      <c r="B74" s="27" t="inlineStr">
        <is>
          <t>①</t>
        </is>
      </c>
      <c r="C74" s="449" t="inlineStr">
        <is>
          <t>東→西</t>
        </is>
      </c>
      <c r="D74" s="485" t="inlineStr">
        <is>
          <t>①Aチーム優先</t>
        </is>
      </c>
      <c r="E74" s="486" t="n"/>
      <c r="F74" s="486" t="n"/>
      <c r="G74" s="486" t="n"/>
      <c r="H74" s="486" t="n"/>
      <c r="I74" s="486" t="n"/>
      <c r="J74" s="466" t="n"/>
      <c r="K74" s="2" t="n"/>
    </row>
    <row r="75">
      <c r="B75" s="27" t="inlineStr">
        <is>
          <t>②</t>
        </is>
      </c>
      <c r="C75" s="449" t="inlineStr">
        <is>
          <t>東→東</t>
        </is>
      </c>
      <c r="D75" s="485" t="inlineStr">
        <is>
          <t>②急ぎ案件の場合、道路状況も伝えてあげる。</t>
        </is>
      </c>
      <c r="E75" s="486" t="n"/>
      <c r="F75" s="486" t="n"/>
      <c r="G75" s="486" t="n"/>
      <c r="H75" s="486" t="n"/>
      <c r="I75" s="486" t="n"/>
      <c r="J75" s="466" t="n"/>
      <c r="K75" s="2" t="n"/>
    </row>
    <row r="76">
      <c r="B76" s="27" t="inlineStr">
        <is>
          <t>③</t>
        </is>
      </c>
      <c r="C76" s="449" t="inlineStr">
        <is>
          <t>西→東</t>
        </is>
      </c>
      <c r="D76" s="485" t="inlineStr">
        <is>
          <t>③各ドライバーの位置からの帰社のタイミング・夕方の配置</t>
        </is>
      </c>
      <c r="E76" s="486" t="n"/>
      <c r="F76" s="486" t="n"/>
      <c r="G76" s="486" t="n"/>
      <c r="H76" s="486" t="n"/>
      <c r="I76" s="486" t="n"/>
      <c r="J76" s="466" t="n"/>
      <c r="K76" s="2" t="n"/>
    </row>
    <row r="77">
      <c r="B77" s="27" t="inlineStr">
        <is>
          <t>④</t>
        </is>
      </c>
      <c r="C77" s="449" t="inlineStr">
        <is>
          <t>西→西</t>
        </is>
      </c>
      <c r="D77" s="485" t="inlineStr">
        <is>
          <t>④依頼を受ける際の、希望時間と現状の位置。行けるか行けないかの判断をしっかりと。</t>
        </is>
      </c>
      <c r="E77" s="486" t="n"/>
      <c r="F77" s="486" t="n"/>
      <c r="G77" s="486" t="n"/>
      <c r="H77" s="486" t="n"/>
      <c r="I77" s="486" t="n"/>
      <c r="J77" s="466" t="n"/>
      <c r="K77" s="2" t="n"/>
    </row>
    <row r="78">
      <c r="D78" s="485" t="inlineStr">
        <is>
          <t>⑤軽に乗るか乗らないかの判断に気を付ける。</t>
        </is>
      </c>
      <c r="E78" s="486" t="n"/>
      <c r="F78" s="486" t="n"/>
      <c r="G78" s="486" t="n"/>
      <c r="H78" s="486" t="n"/>
      <c r="I78" s="486" t="n"/>
      <c r="J78" s="466" t="n"/>
      <c r="K78" s="2" t="n"/>
    </row>
    <row r="79">
      <c r="B79" s="22" t="n"/>
      <c r="C79" s="420" t="inlineStr">
        <is>
          <t>現状配置(予測)</t>
        </is>
      </c>
      <c r="D79" s="485" t="inlineStr">
        <is>
          <t>⑥18/1日、1.8/1人、3件/1人</t>
        </is>
      </c>
      <c r="E79" s="486" t="n"/>
      <c r="F79" s="486" t="n"/>
      <c r="G79" s="486" t="n"/>
      <c r="H79" s="486" t="n"/>
      <c r="I79" s="486" t="n"/>
      <c r="J79" s="466" t="n"/>
      <c r="K79" s="2" t="n"/>
    </row>
    <row r="80">
      <c r="B80" s="420" t="inlineStr">
        <is>
          <t>西(神戸西・弥栄台)</t>
        </is>
      </c>
      <c r="C80" s="420" t="n"/>
      <c r="D80" s="485" t="inlineStr">
        <is>
          <t>⑦依頼書の見落とし(日付、入替、入出庫、場所）</t>
        </is>
      </c>
      <c r="E80" s="486" t="n"/>
      <c r="F80" s="486" t="n"/>
      <c r="G80" s="486" t="n"/>
      <c r="H80" s="486" t="n"/>
      <c r="I80" s="486" t="n"/>
      <c r="J80" s="466" t="n"/>
      <c r="K80" s="2" t="n"/>
    </row>
    <row r="81">
      <c r="B81" s="420" t="inlineStr">
        <is>
          <t>真ん中(摩耶・中央)</t>
        </is>
      </c>
      <c r="C81" s="420" t="n"/>
      <c r="D81" s="485" t="inlineStr">
        <is>
          <t>⑧3ｔ車と2ｔ車への振り方(西と東に振り分ける)</t>
        </is>
      </c>
      <c r="E81" s="486" t="n"/>
      <c r="F81" s="486" t="n"/>
      <c r="G81" s="486" t="n"/>
      <c r="H81" s="486" t="n"/>
      <c r="I81" s="486" t="n"/>
      <c r="J81" s="466" t="n"/>
      <c r="K81" s="2" t="n"/>
    </row>
    <row r="82">
      <c r="B82" s="420" t="inlineStr">
        <is>
          <t>東(尼崎・伊丹・西宮)</t>
        </is>
      </c>
      <c r="C82" s="420" t="n"/>
      <c r="D82" s="485" t="inlineStr">
        <is>
          <t>⑨</t>
        </is>
      </c>
      <c r="E82" s="486" t="n"/>
      <c r="F82" s="486" t="n"/>
      <c r="G82" s="486" t="n"/>
      <c r="H82" s="486" t="n"/>
      <c r="I82" s="486" t="n"/>
      <c r="J82" s="466" t="n"/>
      <c r="K82" s="2" t="n"/>
    </row>
    <row r="83">
      <c r="B83" s="48" t="inlineStr">
        <is>
          <t>極東(港区・淀屋橋)</t>
        </is>
      </c>
      <c r="C83" s="420" t="n"/>
      <c r="D83" s="49" t="n"/>
      <c r="E83" s="49" t="n"/>
      <c r="F83" s="49" t="n"/>
      <c r="G83" s="49" t="n"/>
      <c r="H83" s="49" t="n"/>
      <c r="I83" s="49" t="n"/>
      <c r="J83" s="49" t="n"/>
      <c r="K83" s="2" t="n"/>
    </row>
    <row r="84" ht="14.25" customHeight="1" s="462" thickBot="1">
      <c r="K84" s="2" t="n"/>
    </row>
    <row r="85">
      <c r="C85" s="473" t="inlineStr">
        <is>
          <t>合計額/380</t>
        </is>
      </c>
      <c r="D85" s="358">
        <f>SUM(G85)</f>
        <v/>
      </c>
      <c r="F85" s="360" t="inlineStr">
        <is>
          <t>売り上げ額</t>
        </is>
      </c>
      <c r="G85" s="362">
        <f>SUM(SUM(K4:K51))+SUM(#REF!)</f>
        <v/>
      </c>
      <c r="H85" s="465" t="n"/>
      <c r="I85" s="465" t="n"/>
      <c r="J85" s="467" t="n"/>
      <c r="K85" s="2" t="n"/>
    </row>
    <row r="86" ht="14.25" customHeight="1" s="462" thickBot="1">
      <c r="C86" s="474" t="n"/>
      <c r="D86" s="475" t="n"/>
      <c r="F86" s="468" t="n"/>
      <c r="G86" s="476" t="n"/>
      <c r="H86" s="477" t="n"/>
      <c r="I86" s="477" t="n"/>
      <c r="J86" s="469" t="n"/>
      <c r="K86" s="2" t="n"/>
    </row>
    <row r="87">
      <c r="C87" s="478" t="inlineStr">
        <is>
          <t>前日までの売上合計額</t>
        </is>
      </c>
      <c r="D87" s="479">
        <f>SUM(B96)</f>
        <v/>
      </c>
      <c r="K87" s="2" t="n"/>
    </row>
    <row r="88" ht="14.25" customHeight="1" s="462" thickBot="1">
      <c r="C88" s="480" t="n"/>
      <c r="D88" s="480" t="n"/>
      <c r="F88" s="420" t="inlineStr">
        <is>
          <t>金井（55)</t>
        </is>
      </c>
      <c r="G88" s="345" t="n"/>
      <c r="H88" s="466" t="n"/>
      <c r="I88" s="130" t="n"/>
      <c r="K88" s="2" t="n"/>
    </row>
    <row r="89" ht="14.25" customHeight="1" s="462" thickTop="1">
      <c r="D89" s="346">
        <f>D85+D87</f>
        <v/>
      </c>
      <c r="F89" s="420" t="inlineStr">
        <is>
          <t>粟津(55)</t>
        </is>
      </c>
      <c r="G89" s="340" t="n"/>
      <c r="H89" s="466" t="n"/>
      <c r="I89" s="131" t="n"/>
      <c r="K89" s="2" t="n"/>
    </row>
    <row r="90">
      <c r="F90" s="420" t="inlineStr">
        <is>
          <t>砂川(50)</t>
        </is>
      </c>
      <c r="G90" s="340" t="n"/>
      <c r="H90" s="466" t="n"/>
      <c r="I90" s="131" t="n"/>
      <c r="K90" s="2" t="n"/>
    </row>
    <row r="91">
      <c r="C91" s="2" t="inlineStr">
        <is>
          <t>高代</t>
        </is>
      </c>
      <c r="F91" s="420" t="inlineStr">
        <is>
          <t>前川(50)</t>
        </is>
      </c>
      <c r="G91" s="340" t="n"/>
      <c r="H91" s="466" t="n"/>
      <c r="I91" s="131" t="n"/>
      <c r="K91" s="2" t="n"/>
    </row>
    <row r="92">
      <c r="C92" s="2" t="inlineStr">
        <is>
          <t>返還代</t>
        </is>
      </c>
      <c r="F92" s="420" t="inlineStr">
        <is>
          <t>佐藤(50)</t>
        </is>
      </c>
      <c r="G92" s="345" t="n"/>
      <c r="H92" s="466" t="n"/>
      <c r="I92" s="130" t="n"/>
      <c r="K92" s="2" t="n"/>
    </row>
    <row r="93">
      <c r="C93" s="2" t="inlineStr">
        <is>
          <t>回収率</t>
        </is>
      </c>
      <c r="D93" s="50">
        <f>D92/D91</f>
        <v/>
      </c>
      <c r="F93" s="420" t="inlineStr">
        <is>
          <t>末次(55)</t>
        </is>
      </c>
      <c r="G93" s="340" t="n"/>
      <c r="H93" s="466" t="n"/>
      <c r="I93" s="131" t="n"/>
      <c r="K93" s="2" t="n"/>
    </row>
    <row r="94">
      <c r="C94" s="2" t="inlineStr">
        <is>
          <t>費</t>
        </is>
      </c>
      <c r="D94" s="2">
        <f>D91-D92</f>
        <v/>
      </c>
      <c r="F94" s="420" t="inlineStr">
        <is>
          <t>筒井(75)</t>
        </is>
      </c>
      <c r="G94" s="340" t="n"/>
      <c r="H94" s="466" t="n"/>
      <c r="I94" s="131" t="n"/>
      <c r="K94" s="2" t="n"/>
    </row>
    <row r="95">
      <c r="F95" s="420" t="inlineStr">
        <is>
          <t>山岸(40)</t>
        </is>
      </c>
      <c r="G95" s="340" t="n"/>
      <c r="H95" s="466" t="n"/>
      <c r="I95" s="131" t="n"/>
      <c r="K95" s="2" t="n"/>
    </row>
    <row r="96" ht="23.25" customHeight="1" s="462">
      <c r="B96" s="71" t="n"/>
      <c r="F96" s="420" t="inlineStr">
        <is>
          <t>多苗(30)</t>
        </is>
      </c>
      <c r="G96" s="340" t="n"/>
      <c r="H96" s="466" t="n"/>
      <c r="I96" s="131" t="n"/>
      <c r="K96" s="2" t="n"/>
    </row>
    <row r="97">
      <c r="K97" s="2" t="n"/>
    </row>
    <row r="98">
      <c r="K98" s="2" t="n"/>
    </row>
  </sheetData>
  <autoFilter ref="F2:F98"/>
  <mergeCells count="54">
    <mergeCell ref="K54:K55"/>
    <mergeCell ref="E55:F55"/>
    <mergeCell ref="E62:F62"/>
    <mergeCell ref="E68:F68"/>
    <mergeCell ref="D74:J74"/>
    <mergeCell ref="E71:F71"/>
    <mergeCell ref="E67:F67"/>
    <mergeCell ref="C85:C86"/>
    <mergeCell ref="D82:J82"/>
    <mergeCell ref="K59:K60"/>
    <mergeCell ref="F85:F86"/>
    <mergeCell ref="B2:C2"/>
    <mergeCell ref="M51:N51"/>
    <mergeCell ref="H54:J55"/>
    <mergeCell ref="K56:K57"/>
    <mergeCell ref="D79:J79"/>
    <mergeCell ref="G93:H93"/>
    <mergeCell ref="D87:D88"/>
    <mergeCell ref="E60:F60"/>
    <mergeCell ref="H56:J57"/>
    <mergeCell ref="D81:J81"/>
    <mergeCell ref="M16:N16"/>
    <mergeCell ref="M13:N13"/>
    <mergeCell ref="H59:J60"/>
    <mergeCell ref="E59:F59"/>
    <mergeCell ref="E56:F56"/>
    <mergeCell ref="M21:N21"/>
    <mergeCell ref="G92:H92"/>
    <mergeCell ref="D80:J80"/>
    <mergeCell ref="M6:N6"/>
    <mergeCell ref="G95:H95"/>
    <mergeCell ref="D77:J77"/>
    <mergeCell ref="M27:N27"/>
    <mergeCell ref="G85:J86"/>
    <mergeCell ref="M3:N3"/>
    <mergeCell ref="E61:F61"/>
    <mergeCell ref="G89:H89"/>
    <mergeCell ref="E70:F70"/>
    <mergeCell ref="D76:J76"/>
    <mergeCell ref="G88:H88"/>
    <mergeCell ref="M26:N26"/>
    <mergeCell ref="D85:D86"/>
    <mergeCell ref="D89:D90"/>
    <mergeCell ref="E57:F57"/>
    <mergeCell ref="G91:H91"/>
    <mergeCell ref="E54:F54"/>
    <mergeCell ref="C87:C88"/>
    <mergeCell ref="D75:J75"/>
    <mergeCell ref="G94:H94"/>
    <mergeCell ref="G90:H90"/>
    <mergeCell ref="D78:J78"/>
    <mergeCell ref="E58:F58"/>
    <mergeCell ref="M4:N4"/>
    <mergeCell ref="G96:H96"/>
  </mergeCells>
  <conditionalFormatting sqref="K56:K57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7 L10 L19:L20 L24 L27 L32:L33 L36:L38 L41:L42 L45:L47 L50:L51">
    <cfRule type="cellIs" priority="1" operator="greaterThan" dxfId="0">
      <formula>30</formula>
    </cfRule>
  </conditionalFormatting>
  <conditionalFormatting sqref="D5:D59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29" horizontalDpi="1200" verticalDpi="1200"/>
</worksheet>
</file>

<file path=xl/worksheets/sheet15.xml><?xml version="1.0" encoding="utf-8"?>
<worksheet xmlns="http://schemas.openxmlformats.org/spreadsheetml/2006/main">
  <sheetPr codeName="Sheet14">
    <outlinePr summaryBelow="1" summaryRight="1"/>
    <pageSetUpPr fitToPage="1"/>
  </sheetPr>
  <dimension ref="A1:N62"/>
  <sheetViews>
    <sheetView topLeftCell="A13" zoomScale="70" zoomScaleNormal="70" workbookViewId="0">
      <selection activeCell="M27" sqref="M27"/>
    </sheetView>
  </sheetViews>
  <sheetFormatPr baseColWidth="8" defaultColWidth="8.75" defaultRowHeight="13.5"/>
  <cols>
    <col width="2.125" customWidth="1" style="1" min="1" max="1"/>
    <col width="18.75" bestFit="1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2"/>
    <col width="17" customWidth="1" style="2" min="13" max="13"/>
    <col width="8.75" customWidth="1" style="2" min="14" max="16384"/>
  </cols>
  <sheetData>
    <row r="1"/>
    <row r="2" ht="15" customHeight="1" s="462" thickBot="1">
      <c r="B2" s="492" t="n">
        <v>46181</v>
      </c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2" t="inlineStr">
        <is>
          <t>メモ</t>
        </is>
      </c>
      <c r="N3" s="464" t="n"/>
    </row>
    <row r="4" ht="27" customHeight="1" s="462">
      <c r="A4" s="423" t="n"/>
      <c r="B4" s="76" t="inlineStr">
        <is>
          <t>峯下：休み
前田：16時30分まで</t>
        </is>
      </c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64" t="n"/>
      <c r="F5" s="57" t="n"/>
      <c r="G5" s="65" t="n"/>
      <c r="H5" s="262" t="n"/>
      <c r="I5" s="319">
        <f>IFERROR(_xlfn.XLOOKUP(H5,案件・ドライバー一覧!$L$3:$L$17,案件・ドライバー一覧!$M$3:$M$17,""),"")</f>
        <v/>
      </c>
      <c r="J5" s="57" t="n"/>
      <c r="K5" s="72" t="n"/>
      <c r="L5" s="61" t="n"/>
      <c r="M5" s="449" t="n"/>
      <c r="N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64" t="n"/>
      <c r="F6" s="57" t="n"/>
      <c r="G6" s="65" t="n"/>
      <c r="H6" s="262" t="n"/>
      <c r="I6" s="132" t="n"/>
      <c r="J6" s="57" t="n"/>
      <c r="K6" s="72" t="n"/>
      <c r="L6" s="61" t="n"/>
      <c r="M6" s="449" t="n"/>
      <c r="N6" s="449" t="n"/>
    </row>
    <row r="7" ht="27" customHeight="1" s="462">
      <c r="A7" s="423">
        <f>IF(B7="","",COUNTA($B$5:B7))</f>
        <v/>
      </c>
      <c r="B7" s="441" t="n"/>
      <c r="C7" s="63" t="n"/>
      <c r="D7" s="441" t="n"/>
      <c r="E7" s="441" t="n"/>
      <c r="F7" s="57" t="n"/>
      <c r="G7" s="134" t="n"/>
      <c r="H7" s="262" t="n"/>
      <c r="I7" s="132" t="n"/>
      <c r="J7" s="57" t="n"/>
      <c r="K7" s="72" t="n"/>
      <c r="L7" s="61" t="n"/>
      <c r="M7" s="449" t="n"/>
      <c r="N7" s="449" t="n"/>
    </row>
    <row r="8" ht="27" customHeight="1" s="462">
      <c r="A8" s="423">
        <f>IF(B8="","",COUNTA($B$5:B8))</f>
        <v/>
      </c>
      <c r="B8" s="441" t="n"/>
      <c r="C8" s="63" t="n"/>
      <c r="D8" s="282" t="n"/>
      <c r="E8" s="441" t="n"/>
      <c r="F8" s="57" t="n"/>
      <c r="G8" s="65" t="n"/>
      <c r="H8" s="262" t="n"/>
      <c r="I8" s="319">
        <f>IFERROR(_xlfn.XLOOKUP(H8,案件・ドライバー一覧!$L$3:$L$17,案件・ドライバー一覧!$M$3:$M$17,""),"")</f>
        <v/>
      </c>
      <c r="J8" s="57" t="n"/>
      <c r="K8" s="72" t="n"/>
      <c r="L8" s="61" t="n"/>
      <c r="M8" s="449" t="n"/>
      <c r="N8" s="449" t="n"/>
    </row>
    <row r="9" ht="27" customHeight="1" s="462">
      <c r="A9" s="423">
        <f>IF(B9="","",COUNTA($B$5:B9))</f>
        <v/>
      </c>
      <c r="B9" s="441" t="n"/>
      <c r="C9" s="63" t="n"/>
      <c r="D9" s="282" t="n"/>
      <c r="E9" s="441" t="n"/>
      <c r="F9" s="57" t="n"/>
      <c r="G9" s="65" t="n"/>
      <c r="H9" s="262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</row>
    <row r="10" ht="27" customHeight="1" s="462">
      <c r="A10" s="423">
        <f>IF(B10="","",COUNTA($B$5:B10))</f>
        <v/>
      </c>
      <c r="B10" s="441" t="n"/>
      <c r="C10" s="63" t="n"/>
      <c r="D10" s="441" t="n"/>
      <c r="E10" s="441" t="n"/>
      <c r="F10" s="57" t="n"/>
      <c r="G10" s="65" t="n"/>
      <c r="H10" s="262" t="n"/>
      <c r="I10" s="80" t="n"/>
      <c r="J10" s="57" t="n"/>
      <c r="K10" s="72" t="n"/>
      <c r="L10" s="61" t="n"/>
      <c r="M10" s="449" t="n"/>
      <c r="N10" s="449" t="n"/>
    </row>
    <row r="11" ht="27" customHeight="1" s="462">
      <c r="A11" s="423">
        <f>IF(B11="","",COUNTA($B$5:B11))</f>
        <v/>
      </c>
      <c r="B11" s="57" t="n"/>
      <c r="C11" s="441" t="n"/>
      <c r="D11" s="63" t="n"/>
      <c r="E11" s="441" t="n"/>
      <c r="F11" s="57" t="n"/>
      <c r="G11" s="309" t="n"/>
      <c r="H11" s="262" t="n"/>
      <c r="I11" s="74" t="n"/>
      <c r="J11" s="420" t="n"/>
      <c r="K11" s="73" t="n"/>
      <c r="L11" s="61" t="n"/>
      <c r="M11" s="417" t="n"/>
    </row>
    <row r="12" ht="25.5" customHeight="1" s="462">
      <c r="A12" s="423">
        <f>IF(B12="","",COUNTA($B$5:B12))</f>
        <v/>
      </c>
      <c r="B12" s="441" t="n"/>
      <c r="C12" s="440" t="n"/>
      <c r="D12" s="441" t="n"/>
      <c r="E12" s="441" t="n"/>
      <c r="F12" s="57" t="n"/>
      <c r="G12" s="265" t="n"/>
      <c r="H12" s="262" t="n"/>
      <c r="I12" s="80" t="n"/>
      <c r="J12" s="57" t="n"/>
      <c r="K12" s="72" t="n"/>
      <c r="L12" s="61" t="n"/>
      <c r="M12" s="417" t="n"/>
    </row>
    <row r="13" ht="54" customHeight="1" s="462">
      <c r="A13" s="423">
        <f>IF(B13="","",COUNTA($B$5:B13))</f>
        <v/>
      </c>
      <c r="B13" s="57" t="n"/>
      <c r="C13" s="62" t="n"/>
      <c r="D13" s="441" t="n"/>
      <c r="E13" s="441" t="n"/>
      <c r="F13" s="57" t="n"/>
      <c r="G13" s="265" t="n"/>
      <c r="H13" s="281" t="n"/>
      <c r="I13" s="60" t="n"/>
      <c r="J13" s="57" t="n"/>
      <c r="K13" s="73" t="n"/>
      <c r="L13" s="61" t="n"/>
      <c r="M13" s="418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265" t="n"/>
      <c r="H14" s="281" t="n"/>
      <c r="I14" s="60" t="n"/>
      <c r="J14" s="57" t="n"/>
      <c r="K14" s="73" t="n"/>
      <c r="L14" s="61" t="n"/>
      <c r="M14" s="418" t="n"/>
      <c r="N14" s="449" t="n"/>
    </row>
    <row r="15" ht="27.75" customHeight="1" s="462">
      <c r="A15" s="310">
        <f>IF(B15="","",COUNTA($B$5:B15))</f>
        <v/>
      </c>
      <c r="B15" s="420" t="n"/>
      <c r="C15" s="420" t="n"/>
      <c r="D15" s="420" t="n"/>
      <c r="E15" s="420" t="n"/>
      <c r="F15" s="420" t="n"/>
      <c r="G15" s="69" t="n"/>
      <c r="H15" s="70" t="n"/>
      <c r="I15" s="70" t="n"/>
      <c r="J15" s="420" t="n"/>
      <c r="K15" s="2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</row>
    <row r="16" ht="27" customHeight="1" s="462">
      <c r="B16" s="18" t="n"/>
      <c r="C16" s="18" t="n"/>
      <c r="D16" s="18" t="n"/>
      <c r="E16" s="18" t="n"/>
      <c r="F16" s="18" t="n"/>
      <c r="G16" s="19" t="n"/>
      <c r="H16" s="33" t="n"/>
      <c r="I16" s="18" t="n"/>
      <c r="J16" s="18" t="n"/>
      <c r="K16" s="18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17" ht="27" customHeight="1" s="462" thickBot="1">
      <c r="K17" s="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18" ht="27" customHeight="1" s="462">
      <c r="B18" s="22" t="n"/>
      <c r="C18" s="25" t="n"/>
      <c r="D18" s="25" t="inlineStr">
        <is>
          <t>現在待機場所</t>
        </is>
      </c>
      <c r="E18" s="25" t="inlineStr">
        <is>
          <t>待機予定場所</t>
        </is>
      </c>
      <c r="F18" s="466" t="n"/>
      <c r="H18" s="375" t="inlineStr">
        <is>
          <t>目標距離</t>
        </is>
      </c>
      <c r="I18" s="465" t="n"/>
      <c r="J18" s="467" t="n"/>
      <c r="K18" s="377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19" ht="27" customHeight="1" s="462" thickBot="1">
      <c r="B19" s="26" t="inlineStr">
        <is>
          <t>2(255)</t>
        </is>
      </c>
      <c r="C19" s="21" t="inlineStr">
        <is>
          <t>山岸</t>
        </is>
      </c>
      <c r="D19" s="34" t="n"/>
      <c r="E19" s="34" t="n"/>
      <c r="F19" s="466" t="n"/>
      <c r="H19" s="468" t="n"/>
      <c r="I19" s="477" t="n"/>
      <c r="J19" s="469" t="n"/>
      <c r="K19" s="470" t="n"/>
    </row>
    <row r="20">
      <c r="B20" s="26" t="inlineStr">
        <is>
          <t>8(254)</t>
        </is>
      </c>
      <c r="C20" s="21" t="inlineStr">
        <is>
          <t>砂川</t>
        </is>
      </c>
      <c r="D20" s="35" t="n"/>
      <c r="E20" s="35" t="n"/>
      <c r="F20" s="466" t="n"/>
      <c r="H20" s="368" t="inlineStr">
        <is>
          <t>残距離</t>
        </is>
      </c>
      <c r="J20" s="471" t="n"/>
      <c r="K20" s="354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1" ht="14.25" customHeight="1" s="462" thickBot="1">
      <c r="B21" s="26" t="inlineStr">
        <is>
          <t>9(256)</t>
        </is>
      </c>
      <c r="C21" s="21" t="inlineStr">
        <is>
          <t>前川</t>
        </is>
      </c>
      <c r="D21" s="35" t="n"/>
      <c r="E21" s="35" t="n"/>
      <c r="F21" s="466" t="n"/>
      <c r="H21" s="468" t="n"/>
      <c r="I21" s="477" t="n"/>
      <c r="J21" s="469" t="n"/>
      <c r="K21" s="472" t="n"/>
    </row>
    <row r="22" ht="14.25" customHeight="1" s="462" thickBot="1">
      <c r="B22" s="26" t="inlineStr">
        <is>
          <t>10(257)</t>
        </is>
      </c>
      <c r="C22" s="35" t="n"/>
      <c r="D22" s="35" t="n"/>
      <c r="E22" s="35" t="n"/>
      <c r="F22" s="466" t="n"/>
      <c r="K22" s="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3">
      <c r="B23" s="26" t="inlineStr">
        <is>
          <t>11(258)</t>
        </is>
      </c>
      <c r="C23" s="21" t="inlineStr">
        <is>
          <t>郡司</t>
        </is>
      </c>
      <c r="D23" s="35" t="n"/>
      <c r="E23" s="35" t="n"/>
      <c r="F23" s="466" t="n"/>
      <c r="H23" s="350" t="inlineStr">
        <is>
          <t>依頼件数</t>
        </is>
      </c>
      <c r="I23" s="465" t="n"/>
      <c r="J23" s="467" t="n"/>
      <c r="K23" s="354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4" ht="14.25" customHeight="1" s="462" thickBot="1">
      <c r="B24" s="26" t="inlineStr">
        <is>
          <t>12(736)</t>
        </is>
      </c>
      <c r="C24" s="21" t="n"/>
      <c r="D24" s="35" t="n"/>
      <c r="E24" s="35" t="n"/>
      <c r="F24" s="466" t="n"/>
      <c r="H24" s="468" t="n"/>
      <c r="I24" s="477" t="n"/>
      <c r="J24" s="469" t="n"/>
      <c r="K24" s="472" t="n"/>
    </row>
    <row r="25" ht="17.25" customHeight="1" s="462">
      <c r="B25" s="26" t="inlineStr">
        <is>
          <t>13(737)</t>
        </is>
      </c>
      <c r="C25" s="21" t="n"/>
      <c r="D25" s="35" t="n"/>
      <c r="E25" s="35" t="n"/>
      <c r="F25" s="466" t="n"/>
      <c r="H25" s="38" t="n"/>
      <c r="I25" s="38" t="n"/>
      <c r="J25" s="38" t="n"/>
      <c r="K25" s="39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6" ht="17.25" customHeight="1" s="462">
      <c r="B26" s="40" t="inlineStr">
        <is>
          <t>14(738)</t>
        </is>
      </c>
      <c r="C26" s="21" t="inlineStr">
        <is>
          <t>辻井</t>
        </is>
      </c>
      <c r="D26" s="35" t="n"/>
      <c r="E26" s="35" t="n"/>
      <c r="F26" s="466" t="n"/>
      <c r="H26" s="38" t="n"/>
      <c r="I26" s="38" t="n"/>
      <c r="J26" s="38" t="n"/>
      <c r="K26" s="39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7" ht="17.25" customHeight="1" s="462">
      <c r="B27" s="41" t="n"/>
      <c r="C27" s="42" t="n"/>
      <c r="D27" s="43" t="n"/>
      <c r="E27" s="44" t="n"/>
      <c r="F27" s="349" t="n"/>
      <c r="H27" s="38" t="n"/>
      <c r="I27" s="38" t="n"/>
      <c r="J27" s="38" t="n"/>
      <c r="K27" s="39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8" ht="17.25" customHeight="1" s="462">
      <c r="B28" s="45" t="n">
        <v>7290</v>
      </c>
      <c r="C28" s="21" t="inlineStr">
        <is>
          <t>佐藤</t>
        </is>
      </c>
      <c r="D28" s="35" t="n"/>
      <c r="E28" s="348" t="n"/>
      <c r="F28" s="349" t="n"/>
      <c r="H28" s="38" t="n"/>
      <c r="I28" s="38" t="n"/>
      <c r="J28" s="38" t="n"/>
      <c r="K28" s="39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9" ht="16.5" customHeight="1" s="462">
      <c r="B29" s="45" t="n">
        <v>7291</v>
      </c>
      <c r="C29" s="21" t="inlineStr">
        <is>
          <t>末次</t>
        </is>
      </c>
      <c r="D29" s="35" t="n"/>
      <c r="E29" s="348" t="n"/>
      <c r="F29" s="349" t="n"/>
      <c r="H29" s="38" t="n"/>
      <c r="I29" s="38" t="n"/>
      <c r="J29" s="38" t="n"/>
      <c r="K29" s="39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0" ht="16.5" customHeight="1" s="462">
      <c r="B30" s="41" t="n"/>
      <c r="C30" s="42" t="n"/>
      <c r="D30" s="44" t="n"/>
      <c r="E30" s="44" t="n"/>
      <c r="F30" s="349" t="n"/>
      <c r="H30" s="38" t="n"/>
      <c r="I30" s="38" t="n"/>
      <c r="J30" s="38" t="n"/>
      <c r="K30" s="39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1" ht="8.25" customHeight="1" s="462">
      <c r="B31" s="45" t="n">
        <v>333</v>
      </c>
      <c r="C31" s="21" t="inlineStr">
        <is>
          <t>金井/奥田</t>
        </is>
      </c>
      <c r="D31" s="35" t="n"/>
      <c r="E31" s="484" t="n"/>
      <c r="F31" s="469" t="n"/>
      <c r="H31" s="38" t="n"/>
      <c r="I31" s="38" t="n"/>
      <c r="J31" s="38" t="n"/>
      <c r="K31" s="39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17.25" customHeight="1" s="462">
      <c r="B32" s="46" t="n">
        <v>666</v>
      </c>
      <c r="C32" s="21" t="inlineStr">
        <is>
          <t>徳留</t>
        </is>
      </c>
      <c r="D32" s="35" t="n"/>
      <c r="E32" s="35" t="n"/>
      <c r="F32" s="466" t="n"/>
      <c r="H32" s="38" t="n"/>
      <c r="I32" s="38" t="n"/>
      <c r="J32" s="38" t="n"/>
      <c r="K32" s="39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3" ht="17.25" customHeight="1" s="462">
      <c r="B33" s="46" t="n">
        <v>777</v>
      </c>
      <c r="C33" s="21" t="n"/>
      <c r="D33" s="35" t="n"/>
      <c r="E33" s="348" t="n"/>
      <c r="F33" s="349" t="n"/>
      <c r="H33" s="38" t="n"/>
      <c r="I33" s="38" t="n"/>
      <c r="J33" s="38" t="n"/>
      <c r="K33" s="39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 ht="9" customHeight="1" s="462">
      <c r="B34" s="47" t="n">
        <v>330</v>
      </c>
      <c r="C34" s="21" t="n"/>
      <c r="D34" s="35" t="n"/>
      <c r="E34" s="35" t="n"/>
      <c r="F34" s="466" t="n"/>
      <c r="H34" s="38" t="n"/>
      <c r="I34" s="38" t="n"/>
      <c r="J34" s="38" t="n"/>
      <c r="K34" s="39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5" ht="16.5" customHeight="1" s="462">
      <c r="B35" s="47" t="n">
        <v>990</v>
      </c>
      <c r="C35" s="21" t="inlineStr">
        <is>
          <t>山原</t>
        </is>
      </c>
      <c r="D35" s="35" t="n"/>
      <c r="E35" s="35" t="n"/>
      <c r="F35" s="466" t="n"/>
      <c r="H35" s="38" t="n"/>
      <c r="I35" s="38" t="n"/>
      <c r="J35" s="38" t="n"/>
      <c r="K35" s="39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6" ht="16.5" customHeight="1" s="462">
      <c r="K36" s="2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6.5" customHeight="1" s="462">
      <c r="C37" s="449" t="inlineStr">
        <is>
          <t>出発→到着</t>
        </is>
      </c>
      <c r="D37" s="420" t="inlineStr">
        <is>
          <t>備考</t>
        </is>
      </c>
      <c r="K37" s="2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8" ht="16.5" customHeight="1" s="462">
      <c r="B38" s="27" t="inlineStr">
        <is>
          <t>①</t>
        </is>
      </c>
      <c r="C38" s="449" t="inlineStr">
        <is>
          <t>東→西</t>
        </is>
      </c>
      <c r="D38" s="485" t="inlineStr">
        <is>
          <t>①Aチーム優先</t>
        </is>
      </c>
      <c r="E38" s="486" t="n"/>
      <c r="F38" s="486" t="n"/>
      <c r="G38" s="486" t="n"/>
      <c r="H38" s="486" t="n"/>
      <c r="I38" s="486" t="n"/>
      <c r="J38" s="466" t="n"/>
      <c r="K38" s="2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 ht="16.5" customHeight="1" s="462">
      <c r="B39" s="27" t="inlineStr">
        <is>
          <t>②</t>
        </is>
      </c>
      <c r="C39" s="449" t="inlineStr">
        <is>
          <t>東→東</t>
        </is>
      </c>
      <c r="D39" s="485" t="inlineStr">
        <is>
          <t>②急ぎ案件の場合、道路状況も伝えてあげる。</t>
        </is>
      </c>
      <c r="E39" s="486" t="n"/>
      <c r="F39" s="486" t="n"/>
      <c r="G39" s="486" t="n"/>
      <c r="H39" s="486" t="n"/>
      <c r="I39" s="486" t="n"/>
      <c r="J39" s="466" t="n"/>
      <c r="K39" s="2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>
      <c r="B40" s="27" t="inlineStr">
        <is>
          <t>③</t>
        </is>
      </c>
      <c r="C40" s="449" t="inlineStr">
        <is>
          <t>西→東</t>
        </is>
      </c>
      <c r="D40" s="485" t="inlineStr">
        <is>
          <t>③各ドライバーの位置からの帰社のタイミング・夕方の配置</t>
        </is>
      </c>
      <c r="E40" s="486" t="n"/>
      <c r="F40" s="486" t="n"/>
      <c r="G40" s="486" t="n"/>
      <c r="H40" s="486" t="n"/>
      <c r="I40" s="486" t="n"/>
      <c r="J40" s="466" t="n"/>
      <c r="K40" s="2" t="n"/>
    </row>
    <row r="41">
      <c r="B41" s="27" t="inlineStr">
        <is>
          <t>④</t>
        </is>
      </c>
      <c r="C41" s="449" t="inlineStr">
        <is>
          <t>西→西</t>
        </is>
      </c>
      <c r="D41" s="485" t="inlineStr">
        <is>
          <t>④依頼を受ける際の、希望時間と現状の位置。行けるか行けないかの判断をしっかりと。</t>
        </is>
      </c>
      <c r="E41" s="486" t="n"/>
      <c r="F41" s="486" t="n"/>
      <c r="G41" s="486" t="n"/>
      <c r="H41" s="486" t="n"/>
      <c r="I41" s="486" t="n"/>
      <c r="J41" s="466" t="n"/>
      <c r="K41" s="2" t="n"/>
    </row>
    <row r="42">
      <c r="D42" s="485" t="inlineStr">
        <is>
          <t>⑤軽に乗るか乗らないかの判断に気を付ける。</t>
        </is>
      </c>
      <c r="E42" s="486" t="n"/>
      <c r="F42" s="486" t="n"/>
      <c r="G42" s="486" t="n"/>
      <c r="H42" s="486" t="n"/>
      <c r="I42" s="486" t="n"/>
      <c r="J42" s="466" t="n"/>
      <c r="K42" s="2" t="n"/>
    </row>
    <row r="43">
      <c r="B43" s="22" t="n"/>
      <c r="C43" s="420" t="inlineStr">
        <is>
          <t>現状配置(予測)</t>
        </is>
      </c>
      <c r="D43" s="485" t="inlineStr">
        <is>
          <t>⑥18/1日、1.8/1人、3件/1人</t>
        </is>
      </c>
      <c r="E43" s="486" t="n"/>
      <c r="F43" s="486" t="n"/>
      <c r="G43" s="486" t="n"/>
      <c r="H43" s="486" t="n"/>
      <c r="I43" s="486" t="n"/>
      <c r="J43" s="466" t="n"/>
      <c r="K43" s="2" t="n"/>
    </row>
    <row r="44">
      <c r="B44" s="420" t="inlineStr">
        <is>
          <t>西(神戸西・弥栄台)</t>
        </is>
      </c>
      <c r="C44" s="420" t="n"/>
      <c r="D44" s="485" t="inlineStr">
        <is>
          <t>⑦依頼書の見落とし(日付、入替、入出庫、場所）</t>
        </is>
      </c>
      <c r="E44" s="486" t="n"/>
      <c r="F44" s="486" t="n"/>
      <c r="G44" s="486" t="n"/>
      <c r="H44" s="486" t="n"/>
      <c r="I44" s="486" t="n"/>
      <c r="J44" s="466" t="n"/>
      <c r="K44" s="2" t="n"/>
    </row>
    <row r="45">
      <c r="B45" s="420" t="inlineStr">
        <is>
          <t>真ん中(摩耶・中央)</t>
        </is>
      </c>
      <c r="C45" s="420" t="n"/>
      <c r="D45" s="485" t="inlineStr">
        <is>
          <t>⑧3ｔ車と2ｔ車への振り方(西と東に振り分ける)</t>
        </is>
      </c>
      <c r="E45" s="486" t="n"/>
      <c r="F45" s="486" t="n"/>
      <c r="G45" s="486" t="n"/>
      <c r="H45" s="486" t="n"/>
      <c r="I45" s="486" t="n"/>
      <c r="J45" s="466" t="n"/>
      <c r="K45" s="2" t="n"/>
    </row>
    <row r="46">
      <c r="B46" s="420" t="inlineStr">
        <is>
          <t>東(尼崎・伊丹・西宮)</t>
        </is>
      </c>
      <c r="C46" s="420" t="n"/>
      <c r="D46" s="485" t="inlineStr">
        <is>
          <t>⑨</t>
        </is>
      </c>
      <c r="E46" s="486" t="n"/>
      <c r="F46" s="486" t="n"/>
      <c r="G46" s="486" t="n"/>
      <c r="H46" s="486" t="n"/>
      <c r="I46" s="486" t="n"/>
      <c r="J46" s="466" t="n"/>
      <c r="K46" s="2" t="n"/>
    </row>
    <row r="47">
      <c r="B47" s="48" t="inlineStr">
        <is>
          <t>極東(港区・淀屋橋)</t>
        </is>
      </c>
      <c r="C47" s="420" t="n"/>
      <c r="D47" s="49" t="n"/>
      <c r="E47" s="49" t="n"/>
      <c r="F47" s="49" t="n"/>
      <c r="G47" s="49" t="n"/>
      <c r="H47" s="49" t="n"/>
      <c r="I47" s="49" t="n"/>
      <c r="J47" s="49" t="n"/>
      <c r="K47" s="2" t="n"/>
    </row>
    <row r="48" ht="14.25" customHeight="1" s="462" thickBot="1">
      <c r="K48" s="2" t="n"/>
    </row>
    <row r="49">
      <c r="C49" s="473" t="inlineStr">
        <is>
          <t>合計額/380</t>
        </is>
      </c>
      <c r="D49" s="358">
        <f>SUM(G49)</f>
        <v/>
      </c>
      <c r="F49" s="360" t="inlineStr">
        <is>
          <t>売り上げ額</t>
        </is>
      </c>
      <c r="G49" s="362">
        <f>SUM(K4:K15)+SUM('6　8 (2)'!K4:K45)</f>
        <v/>
      </c>
      <c r="H49" s="465" t="n"/>
      <c r="I49" s="465" t="n"/>
      <c r="J49" s="467" t="n"/>
      <c r="K49" s="2" t="n"/>
    </row>
    <row r="50" ht="14.25" customHeight="1" s="462" thickBot="1">
      <c r="C50" s="474" t="n"/>
      <c r="D50" s="475" t="n"/>
      <c r="F50" s="468" t="n"/>
      <c r="G50" s="476" t="n"/>
      <c r="H50" s="477" t="n"/>
      <c r="I50" s="477" t="n"/>
      <c r="J50" s="469" t="n"/>
      <c r="K50" s="2" t="n"/>
    </row>
    <row r="51">
      <c r="C51" s="478" t="inlineStr">
        <is>
          <t>前日までの売上合計額</t>
        </is>
      </c>
      <c r="D51" s="479">
        <f>SUM('6　7'!D56:D57)</f>
        <v/>
      </c>
      <c r="K51" s="2" t="n"/>
    </row>
    <row r="52" ht="14.25" customHeight="1" s="462" thickBot="1">
      <c r="C52" s="480" t="n"/>
      <c r="D52" s="480" t="n"/>
      <c r="F52" s="420" t="inlineStr">
        <is>
          <t>金井（55)</t>
        </is>
      </c>
      <c r="G52" s="345" t="n"/>
      <c r="H52" s="466" t="n"/>
      <c r="I52" s="130" t="n"/>
      <c r="K52" s="2" t="n"/>
    </row>
    <row r="53" ht="14.25" customHeight="1" s="462" thickTop="1">
      <c r="D53" s="346">
        <f>D49+D51</f>
        <v/>
      </c>
      <c r="F53" s="420" t="inlineStr">
        <is>
          <t>粟津(55)</t>
        </is>
      </c>
      <c r="G53" s="340" t="n"/>
      <c r="H53" s="466" t="n"/>
      <c r="I53" s="131" t="n"/>
      <c r="K53" s="2" t="n"/>
    </row>
    <row r="54">
      <c r="F54" s="420" t="inlineStr">
        <is>
          <t>砂川(50)</t>
        </is>
      </c>
      <c r="G54" s="340" t="n"/>
      <c r="H54" s="466" t="n"/>
      <c r="I54" s="131" t="n"/>
      <c r="K54" s="2" t="n"/>
    </row>
    <row r="55">
      <c r="C55" s="2" t="inlineStr">
        <is>
          <t>高代</t>
        </is>
      </c>
      <c r="F55" s="420" t="inlineStr">
        <is>
          <t>前川(50)</t>
        </is>
      </c>
      <c r="G55" s="340" t="n"/>
      <c r="H55" s="466" t="n"/>
      <c r="I55" s="131" t="n"/>
      <c r="K55" s="2" t="n"/>
    </row>
    <row r="56">
      <c r="C56" s="2" t="inlineStr">
        <is>
          <t>返還代</t>
        </is>
      </c>
      <c r="F56" s="420" t="inlineStr">
        <is>
          <t>佐藤(50)</t>
        </is>
      </c>
      <c r="G56" s="345" t="n"/>
      <c r="H56" s="466" t="n"/>
      <c r="I56" s="130" t="n"/>
      <c r="K56" s="2" t="n"/>
    </row>
    <row r="57">
      <c r="C57" s="2" t="inlineStr">
        <is>
          <t>回収率</t>
        </is>
      </c>
      <c r="D57" s="50">
        <f>D56/D55</f>
        <v/>
      </c>
      <c r="F57" s="420" t="inlineStr">
        <is>
          <t>末次(55)</t>
        </is>
      </c>
      <c r="G57" s="340" t="n"/>
      <c r="H57" s="466" t="n"/>
      <c r="I57" s="131" t="n"/>
      <c r="K57" s="2" t="n"/>
    </row>
    <row r="58">
      <c r="C58" s="2" t="inlineStr">
        <is>
          <t>費</t>
        </is>
      </c>
      <c r="D58" s="2">
        <f>D55-D56</f>
        <v/>
      </c>
      <c r="F58" s="420" t="inlineStr">
        <is>
          <t>筒井(75)</t>
        </is>
      </c>
      <c r="G58" s="340" t="n"/>
      <c r="H58" s="466" t="n"/>
      <c r="I58" s="131" t="n"/>
      <c r="K58" s="2" t="n"/>
    </row>
    <row r="59">
      <c r="F59" s="420" t="inlineStr">
        <is>
          <t>山岸(40)</t>
        </is>
      </c>
      <c r="G59" s="340" t="n"/>
      <c r="H59" s="466" t="n"/>
      <c r="I59" s="131" t="n"/>
      <c r="K59" s="2" t="n"/>
    </row>
    <row r="60" ht="17.25" customHeight="1" s="462">
      <c r="B60" s="71" t="n"/>
      <c r="F60" s="420" t="inlineStr">
        <is>
          <t>多苗(30)</t>
        </is>
      </c>
      <c r="G60" s="340" t="n"/>
      <c r="H60" s="466" t="n"/>
      <c r="I60" s="131" t="n"/>
      <c r="K60" s="2" t="n"/>
      <c r="L60" s="2" t="inlineStr">
        <is>
          <t> </t>
        </is>
      </c>
    </row>
    <row r="61">
      <c r="K61" s="2" t="n"/>
    </row>
    <row r="62">
      <c r="K62" s="2" t="n"/>
    </row>
    <row r="64" ht="23.25" customHeight="1" s="462"/>
  </sheetData>
  <autoFilter ref="H1:H27"/>
  <mergeCells count="51">
    <mergeCell ref="G59:H59"/>
    <mergeCell ref="D49:D50"/>
    <mergeCell ref="G52:H52"/>
    <mergeCell ref="H18:J19"/>
    <mergeCell ref="E24:F24"/>
    <mergeCell ref="D39:J39"/>
    <mergeCell ref="E23:F23"/>
    <mergeCell ref="D42:J42"/>
    <mergeCell ref="H20:J21"/>
    <mergeCell ref="D38:J38"/>
    <mergeCell ref="H23:J24"/>
    <mergeCell ref="E35:F35"/>
    <mergeCell ref="B2:C2"/>
    <mergeCell ref="E20:F20"/>
    <mergeCell ref="M11:N11"/>
    <mergeCell ref="D44:J44"/>
    <mergeCell ref="E19:F19"/>
    <mergeCell ref="G57:H57"/>
    <mergeCell ref="G53:H53"/>
    <mergeCell ref="E31:F31"/>
    <mergeCell ref="K18:K19"/>
    <mergeCell ref="M13:N13"/>
    <mergeCell ref="E34:F34"/>
    <mergeCell ref="G49:J50"/>
    <mergeCell ref="D46:J46"/>
    <mergeCell ref="D53:D54"/>
    <mergeCell ref="M15:N15"/>
    <mergeCell ref="D40:J40"/>
    <mergeCell ref="C51:C52"/>
    <mergeCell ref="M12:N12"/>
    <mergeCell ref="K23:K24"/>
    <mergeCell ref="K20:K21"/>
    <mergeCell ref="D45:J45"/>
    <mergeCell ref="G58:H58"/>
    <mergeCell ref="M3:N3"/>
    <mergeCell ref="E26:F26"/>
    <mergeCell ref="F49:F50"/>
    <mergeCell ref="G55:H55"/>
    <mergeCell ref="D41:J41"/>
    <mergeCell ref="E32:F32"/>
    <mergeCell ref="D51:D52"/>
    <mergeCell ref="E25:F25"/>
    <mergeCell ref="G54:H54"/>
    <mergeCell ref="E18:F18"/>
    <mergeCell ref="E22:F22"/>
    <mergeCell ref="G60:H60"/>
    <mergeCell ref="C49:C50"/>
    <mergeCell ref="D43:J43"/>
    <mergeCell ref="M4:N4"/>
    <mergeCell ref="G56:H56"/>
    <mergeCell ref="E21:F21"/>
  </mergeCells>
  <conditionalFormatting sqref="L3:L15">
    <cfRule type="cellIs" priority="3" operator="greaterThan" dxfId="0">
      <formula>30</formula>
    </cfRule>
  </conditionalFormatting>
  <conditionalFormatting sqref="K20:K21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3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45" horizontalDpi="1200" verticalDpi="120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Z93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41" sqref="K41:K44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2.625" bestFit="1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2"/>
    <col width="23.25" customWidth="1" style="2" min="13" max="13"/>
    <col width="8.75" customWidth="1" style="2" min="14" max="16384"/>
  </cols>
  <sheetData>
    <row r="1">
      <c r="Z1" s="0" t="n"/>
    </row>
    <row r="2" ht="15" customHeight="1" s="462" thickBot="1">
      <c r="B2" s="492" t="n">
        <v>46181</v>
      </c>
      <c r="D2" s="2" t="inlineStr">
        <is>
          <t>NO.１</t>
        </is>
      </c>
      <c r="Z2" s="0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2" t="inlineStr">
        <is>
          <t>メモ</t>
        </is>
      </c>
      <c r="N3" s="464" t="n"/>
      <c r="Z3" s="0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1" t="n"/>
      <c r="I4" s="256" t="n"/>
      <c r="J4" s="51" t="n"/>
      <c r="K4" s="51" t="n"/>
      <c r="L4" s="55" t="n"/>
      <c r="M4" s="388" t="n"/>
      <c r="N4" s="465" t="n"/>
      <c r="Z4" s="0" t="n"/>
    </row>
    <row r="5" ht="40.5" customHeight="1" s="462">
      <c r="A5" s="423">
        <f>IF(B5="","",COUNTA($B$5:B5))</f>
        <v/>
      </c>
      <c r="B5" s="57" t="n"/>
      <c r="C5" s="441" t="n"/>
      <c r="D5" s="133" t="n"/>
      <c r="E5" s="441" t="n"/>
      <c r="F5" s="57" t="n"/>
      <c r="G5" s="302" t="n"/>
      <c r="H5" s="260" t="n"/>
      <c r="I5" s="314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Z5" s="0" t="n"/>
    </row>
    <row r="6" ht="27" customHeight="1" s="462">
      <c r="A6" s="423">
        <f>IF(B6="","",COUNTA($B$5:B6))</f>
        <v/>
      </c>
      <c r="B6" s="57" t="n"/>
      <c r="C6" s="441" t="n"/>
      <c r="D6" s="63" t="n"/>
      <c r="E6" s="441" t="n"/>
      <c r="F6" s="57" t="n"/>
      <c r="G6" s="302" t="n"/>
      <c r="H6" s="260" t="n"/>
      <c r="I6" s="314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284" t="n"/>
      <c r="N6" s="449" t="n"/>
      <c r="Z6" s="0" t="n"/>
    </row>
    <row r="7" ht="27" customHeight="1" s="462">
      <c r="A7" s="423">
        <f>IF(B7="","",COUNTA($B$5:B7))</f>
        <v/>
      </c>
      <c r="B7" s="57" t="n"/>
      <c r="C7" s="441" t="n"/>
      <c r="D7" s="133" t="n"/>
      <c r="E7" s="441" t="n"/>
      <c r="F7" s="57" t="n"/>
      <c r="G7" s="302" t="n"/>
      <c r="H7" s="260" t="n"/>
      <c r="I7" s="314">
        <f>IFERROR(_xlfn.XLOOKUP(H7,案件・ドライバー一覧!$L$3:$L$17,案件・ドライバー一覧!$M$3:$M$17,""),"")</f>
        <v/>
      </c>
      <c r="J7" s="57" t="n"/>
      <c r="K7" s="73" t="n"/>
      <c r="L7" s="61" t="n"/>
      <c r="M7" s="449" t="n"/>
    </row>
    <row r="8" ht="27.75" customHeight="1" s="462">
      <c r="A8" s="423">
        <f>IF(B8="","",COUNTA($B$5:B8))</f>
        <v/>
      </c>
      <c r="B8" s="57" t="n"/>
      <c r="C8" s="441" t="n"/>
      <c r="D8" s="246" t="n"/>
      <c r="E8" s="441" t="n"/>
      <c r="F8" s="57" t="n"/>
      <c r="G8" s="302" t="n"/>
      <c r="H8" s="260" t="n"/>
      <c r="I8" s="314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</row>
    <row r="9" ht="27" customHeight="1" s="462">
      <c r="A9" s="423">
        <f>IF(B9="","",COUNTA($B$5:B9))</f>
        <v/>
      </c>
      <c r="B9" s="57" t="n"/>
      <c r="C9" s="441" t="n"/>
      <c r="D9" s="441" t="n"/>
      <c r="E9" s="64" t="n"/>
      <c r="F9" s="57" t="n"/>
      <c r="G9" s="302" t="n"/>
      <c r="H9" s="260" t="n"/>
      <c r="I9" s="314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284" t="n"/>
      <c r="N9" s="449" t="n"/>
    </row>
    <row r="10" ht="29.25" customHeight="1" s="462">
      <c r="A10" s="423">
        <f>IF(B10="","",COUNTA($B$5:B10))</f>
        <v/>
      </c>
      <c r="B10" s="57" t="n"/>
      <c r="C10" s="441" t="n"/>
      <c r="D10" s="441" t="n"/>
      <c r="E10" s="441" t="n"/>
      <c r="F10" s="57" t="n"/>
      <c r="G10" s="302" t="n"/>
      <c r="H10" s="260" t="n"/>
      <c r="I10" s="314">
        <f>IFERROR(_xlfn.XLOOKUP(H10,案件・ドライバー一覧!$L$3:$L$17,案件・ドライバー一覧!$M$3:$M$17,""),"")</f>
        <v/>
      </c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</row>
    <row r="11" ht="42.75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303" t="n"/>
      <c r="H11" s="294" t="n"/>
      <c r="I11" s="315">
        <f>IFERROR(_xlfn.XLOOKUP(H11,案件・ドライバー一覧!$L$3:$L$17,案件・ドライバー一覧!$M$3:$M$17,""),"")</f>
        <v/>
      </c>
      <c r="J11" s="420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</row>
    <row r="12" ht="40.5" customHeight="1" s="462">
      <c r="A12" s="423">
        <f>IF(B12="","",COUNTA($B$5:B12))</f>
        <v/>
      </c>
      <c r="B12" s="57" t="n"/>
      <c r="C12" s="441" t="n"/>
      <c r="D12" s="441" t="n"/>
      <c r="E12" s="441" t="n"/>
      <c r="F12" s="57" t="n"/>
      <c r="G12" s="303" t="n"/>
      <c r="H12" s="294" t="n"/>
      <c r="I12" s="314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</row>
    <row r="13" ht="48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302" t="n"/>
      <c r="H13" s="260" t="n"/>
      <c r="I13" s="314">
        <f>IFERROR(_xlfn.XLOOKUP(H13,案件・ドライバー一覧!$L$3:$L$17,案件・ドライバー一覧!$M$3:$M$17,""),"")</f>
        <v/>
      </c>
      <c r="J13" s="57" t="n"/>
      <c r="K13" s="72" t="n"/>
      <c r="L13" s="61" t="n"/>
      <c r="M13" s="449" t="n"/>
      <c r="N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302" t="n"/>
      <c r="H14" s="260" t="n"/>
      <c r="I14" s="314">
        <f>IFERROR(_xlfn.XLOOKUP(H14,案件・ドライバー一覧!$L$3:$L$17,案件・ドライバー一覧!$M$3:$M$17,""),"")</f>
        <v/>
      </c>
      <c r="J14" s="57" t="n"/>
      <c r="K14" s="72" t="n"/>
      <c r="L14" s="61" t="n"/>
      <c r="M14" s="449" t="n"/>
      <c r="N14" s="449" t="n"/>
    </row>
    <row r="15" ht="40.5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302" t="n"/>
      <c r="H15" s="260" t="n"/>
      <c r="I15" s="314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</row>
    <row r="16" ht="30" customHeight="1" s="462">
      <c r="A16" s="423">
        <f>IF(B16="","",COUNTA($B$5:B16))</f>
        <v/>
      </c>
      <c r="B16" s="57" t="n"/>
      <c r="C16" s="64" t="n"/>
      <c r="D16" s="63" t="n"/>
      <c r="E16" s="64" t="n"/>
      <c r="F16" s="57" t="n"/>
      <c r="G16" s="305" t="n"/>
      <c r="H16" s="260" t="n"/>
      <c r="I16" s="119" t="n"/>
      <c r="J16" s="57" t="n"/>
      <c r="K16" s="72" t="n"/>
      <c r="L16" s="61" t="n"/>
      <c r="M16" s="449" t="n"/>
      <c r="N16" s="449" t="n"/>
    </row>
    <row r="17" ht="40.5" customHeight="1" s="462">
      <c r="A17" s="423">
        <f>IF(B17="","",COUNTA($B$5:B17))</f>
        <v/>
      </c>
      <c r="B17" s="57" t="n"/>
      <c r="C17" s="64" t="n"/>
      <c r="D17" s="441" t="n"/>
      <c r="E17" s="63" t="n"/>
      <c r="F17" s="441" t="n"/>
      <c r="G17" s="305" t="n"/>
      <c r="H17" s="260" t="n"/>
      <c r="I17" s="119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</row>
    <row r="18" ht="28.5" customHeight="1" s="462">
      <c r="A18" s="423">
        <f>IF(B18="","",COUNTA($B$5:B18))</f>
        <v/>
      </c>
      <c r="B18" s="57" t="n"/>
      <c r="C18" s="441" t="n"/>
      <c r="D18" s="63" t="n"/>
      <c r="E18" s="441" t="n"/>
      <c r="F18" s="57" t="n"/>
      <c r="G18" s="134" t="n"/>
      <c r="H18" s="260" t="n"/>
      <c r="I18" s="119" t="n"/>
      <c r="J18" s="57" t="n"/>
      <c r="K18" s="72" t="n"/>
      <c r="L18" s="61" t="n"/>
      <c r="M18" s="449" t="n"/>
      <c r="N18" s="449" t="n"/>
    </row>
    <row r="19" ht="55.5" customHeight="1" s="462">
      <c r="A19" s="423">
        <f>IF(B19="","",COUNTA($B$5:B19))</f>
        <v/>
      </c>
      <c r="B19" s="57" t="n"/>
      <c r="C19" s="63" t="n"/>
      <c r="D19" s="246" t="n"/>
      <c r="E19" s="441" t="n"/>
      <c r="F19" s="57" t="n"/>
      <c r="G19" s="302" t="n"/>
      <c r="H19" s="260" t="n"/>
      <c r="I19" s="119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</row>
    <row r="20" ht="36" customHeight="1" s="462">
      <c r="A20" s="423">
        <f>IF(B20="","",COUNTA($B$5:B20))</f>
        <v/>
      </c>
      <c r="B20" s="57" t="n"/>
      <c r="C20" s="63" t="n"/>
      <c r="D20" s="441" t="n"/>
      <c r="E20" s="63" t="n"/>
      <c r="F20" s="57" t="n"/>
      <c r="G20" s="304" t="n"/>
      <c r="H20" s="294" t="n"/>
      <c r="I20" s="120" t="n"/>
      <c r="J20" s="420" t="n"/>
      <c r="K20" s="73" t="n"/>
      <c r="L20" s="61" t="n"/>
      <c r="M20" s="449" t="n"/>
    </row>
    <row r="21" ht="40.5" customHeight="1" s="462">
      <c r="A21" s="423">
        <f>IF(B21="","",COUNTA($B$5:B21))</f>
        <v/>
      </c>
      <c r="B21" s="441" t="n"/>
      <c r="C21" s="63" t="n"/>
      <c r="D21" s="440" t="n"/>
      <c r="E21" s="441" t="n"/>
      <c r="F21" s="57" t="n"/>
      <c r="G21" s="305" t="n"/>
      <c r="H21" s="260" t="n"/>
      <c r="I21" s="119" t="n"/>
      <c r="J21" s="57" t="n"/>
      <c r="K21" s="72" t="n"/>
      <c r="L21" s="61" t="n"/>
      <c r="M21" s="449" t="n"/>
      <c r="N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302" t="n"/>
      <c r="H22" s="260" t="n"/>
      <c r="I22" s="427" t="n"/>
      <c r="J22" s="57" t="n"/>
      <c r="K22" s="72" t="n"/>
      <c r="L22" s="61" t="n"/>
      <c r="M22" s="449" t="n"/>
      <c r="N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302" t="n"/>
      <c r="H23" s="260" t="n"/>
      <c r="I23" s="427" t="n"/>
      <c r="J23" s="57" t="n"/>
      <c r="K23" s="72" t="n"/>
      <c r="L23" s="61" t="n"/>
      <c r="M23" s="449" t="n"/>
      <c r="N23" s="449" t="n"/>
    </row>
    <row r="24" ht="28.5" customHeight="1" s="462">
      <c r="A24" s="423">
        <f>IF(B24="","",COUNTA($B$5:B24))</f>
        <v/>
      </c>
      <c r="B24" s="57" t="n"/>
      <c r="C24" s="441" t="n"/>
      <c r="D24" s="441" t="n"/>
      <c r="E24" s="441" t="n"/>
      <c r="F24" s="57" t="n"/>
      <c r="G24" s="302" t="n"/>
      <c r="H24" s="260" t="n"/>
      <c r="I24" s="119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</row>
    <row r="25" ht="36" customHeight="1" s="462">
      <c r="A25" s="423">
        <f>IF(B25="","",COUNTA($B$5:B25))</f>
        <v/>
      </c>
      <c r="B25" s="441" t="n"/>
      <c r="C25" s="63" t="n"/>
      <c r="D25" s="441" t="n"/>
      <c r="E25" s="441" t="n"/>
      <c r="F25" s="57" t="n"/>
      <c r="G25" s="305" t="n"/>
      <c r="H25" s="260" t="n"/>
      <c r="I25" s="119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</row>
    <row r="26" ht="40.5" customHeight="1" s="462">
      <c r="A26" s="423">
        <f>IF(B26="","",COUNTA($B$5:B26))</f>
        <v/>
      </c>
      <c r="B26" s="57" t="n"/>
      <c r="C26" s="441" t="n"/>
      <c r="D26" s="62" t="n"/>
      <c r="E26" s="441" t="n"/>
      <c r="F26" s="57" t="n"/>
      <c r="G26" s="306" t="n"/>
      <c r="H26" s="260" t="n"/>
      <c r="I26" s="119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</row>
    <row r="27" ht="27" customHeight="1" s="462">
      <c r="A27" s="423">
        <f>IF(B27="","",COUNTA($B$5:B27))</f>
        <v/>
      </c>
      <c r="B27" s="57" t="n"/>
      <c r="C27" s="441" t="n"/>
      <c r="D27" s="441" t="n"/>
      <c r="E27" s="129" t="n"/>
      <c r="F27" s="57" t="n"/>
      <c r="G27" s="306" t="n"/>
      <c r="H27" s="260" t="n"/>
      <c r="I27" s="119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</row>
    <row r="28" ht="29.25" customHeight="1" s="462">
      <c r="A28" s="423">
        <f>IF(B28="","",COUNTA($B$5:B28))</f>
        <v/>
      </c>
      <c r="B28" s="441" t="n"/>
      <c r="C28" s="63" t="n"/>
      <c r="D28" s="441" t="n"/>
      <c r="E28" s="441" t="n"/>
      <c r="F28" s="57" t="n"/>
      <c r="G28" s="302" t="n"/>
      <c r="H28" s="260" t="n"/>
      <c r="I28" s="120" t="n"/>
      <c r="J28" s="420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</row>
    <row r="29" ht="27" customHeight="1" s="462">
      <c r="A29" s="423">
        <f>IF(B29="","",COUNTA($B$5:B29))</f>
        <v/>
      </c>
      <c r="B29" s="57" t="n"/>
      <c r="C29" s="63" t="n"/>
      <c r="D29" s="441" t="n"/>
      <c r="E29" s="64" t="n"/>
      <c r="F29" s="57" t="n"/>
      <c r="G29" s="302" t="n"/>
      <c r="H29" s="260" t="n"/>
      <c r="I29" s="119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</row>
    <row r="30" ht="27.75" customHeight="1" s="462">
      <c r="A30" s="423">
        <f>IF(B30="","",COUNTA($B$5:B30))</f>
        <v/>
      </c>
      <c r="B30" s="441" t="n"/>
      <c r="C30" s="440" t="n"/>
      <c r="D30" s="441" t="n"/>
      <c r="E30" s="441" t="n"/>
      <c r="F30" s="57" t="n"/>
      <c r="G30" s="302" t="n"/>
      <c r="H30" s="260" t="n"/>
      <c r="I30" s="119" t="n"/>
      <c r="J30" s="57" t="n"/>
      <c r="K30" s="7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M30" s="449" t="n"/>
      <c r="N30" s="449" t="n"/>
    </row>
    <row r="31" ht="27" customHeight="1" s="462">
      <c r="A31" s="423">
        <f>IF(B31="","",COUNTA($B$5:B31))</f>
        <v/>
      </c>
      <c r="B31" s="57" t="n"/>
      <c r="C31" s="63" t="n"/>
      <c r="D31" s="441" t="n"/>
      <c r="E31" s="64" t="n"/>
      <c r="F31" s="57" t="n"/>
      <c r="G31" s="134" t="n"/>
      <c r="H31" s="260" t="n"/>
      <c r="I31" s="119" t="n"/>
      <c r="J31" s="57" t="n"/>
      <c r="K31" s="72" t="n"/>
      <c r="L31" s="61" t="n"/>
      <c r="M31" s="449" t="n"/>
      <c r="N31" s="449" t="n"/>
    </row>
    <row r="32" ht="33" customHeight="1" s="462">
      <c r="A32" s="423">
        <f>IF(B32="","",COUNTA($B$5:B32))</f>
        <v/>
      </c>
      <c r="B32" s="57" t="n"/>
      <c r="C32" s="441" t="n"/>
      <c r="D32" s="441" t="n"/>
      <c r="E32" s="441" t="n"/>
      <c r="F32" s="57" t="n"/>
      <c r="G32" s="304" t="n"/>
      <c r="H32" s="260" t="n"/>
      <c r="I32" s="119" t="n"/>
      <c r="J32" s="57" t="n"/>
      <c r="K32" s="72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M32" s="449" t="n"/>
      <c r="N32" s="449" t="n"/>
    </row>
    <row r="33" ht="27.75" customHeight="1" s="462">
      <c r="A33" s="423">
        <f>IF(B33="","",COUNTA($B$5:B33))</f>
        <v/>
      </c>
      <c r="B33" s="441" t="n"/>
      <c r="C33" s="440" t="n"/>
      <c r="D33" s="441" t="n"/>
      <c r="E33" s="441" t="n"/>
      <c r="F33" s="57" t="n"/>
      <c r="G33" s="303" t="n"/>
      <c r="H33" s="260" t="n"/>
      <c r="I33" s="119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</row>
    <row r="34" ht="27.75" customHeight="1" s="462">
      <c r="A34" s="423">
        <f>IF(B34="","",COUNTA($B$5:B34))</f>
        <v/>
      </c>
      <c r="B34" s="57" t="n"/>
      <c r="C34" s="441" t="n"/>
      <c r="D34" s="63" t="n"/>
      <c r="E34" s="441" t="n"/>
      <c r="F34" s="57" t="n"/>
      <c r="G34" s="302" t="n"/>
      <c r="H34" s="260" t="n"/>
      <c r="I34" s="119" t="n"/>
      <c r="J34" s="57" t="n"/>
      <c r="K34" s="72" t="n"/>
      <c r="L34" s="61" t="n"/>
      <c r="M34" s="449" t="n"/>
      <c r="N34" s="449" t="n"/>
    </row>
    <row r="35" ht="27.75" customHeight="1" s="462">
      <c r="A35" s="423">
        <f>IF(B35="","",COUNTA($B$5:B35))</f>
        <v/>
      </c>
      <c r="B35" s="57" t="n"/>
      <c r="C35" s="441" t="n"/>
      <c r="D35" s="63" t="n"/>
      <c r="E35" s="441" t="n"/>
      <c r="F35" s="57" t="n"/>
      <c r="G35" s="302" t="n"/>
      <c r="H35" s="260" t="n"/>
      <c r="I35" s="119" t="n"/>
      <c r="J35" s="57" t="n"/>
      <c r="K35" s="72" t="n"/>
      <c r="L35" s="61" t="n"/>
      <c r="M35" s="449" t="n"/>
      <c r="N35" s="449" t="n"/>
    </row>
    <row r="36" ht="27.75" customHeight="1" s="462">
      <c r="A36" s="423">
        <f>IF(B36="","",COUNTA($B$5:B36))</f>
        <v/>
      </c>
      <c r="B36" s="57" t="n"/>
      <c r="C36" s="441" t="n"/>
      <c r="D36" s="63" t="n"/>
      <c r="E36" s="441" t="n"/>
      <c r="F36" s="57" t="n"/>
      <c r="G36" s="208" t="n"/>
      <c r="H36" s="281" t="n"/>
      <c r="I36" s="60" t="n"/>
      <c r="J36" s="57" t="n"/>
      <c r="K36" s="73" t="n"/>
      <c r="L36" s="61" t="n"/>
      <c r="M36" s="449" t="n"/>
      <c r="N36" s="449" t="n"/>
    </row>
    <row r="37" ht="27" customHeight="1" s="462">
      <c r="A37" s="423">
        <f>IF(B37="","",COUNTA($B$5:B37))</f>
        <v/>
      </c>
      <c r="B37" s="57" t="n"/>
      <c r="C37" s="63" t="n"/>
      <c r="D37" s="441" t="n"/>
      <c r="E37" s="441" t="n"/>
      <c r="F37" s="57" t="n"/>
      <c r="G37" s="302" t="n"/>
      <c r="H37" s="260" t="n"/>
      <c r="I37" s="119" t="n"/>
      <c r="J37" s="57" t="n"/>
      <c r="K37" s="72" t="n"/>
      <c r="L37" s="61" t="n"/>
      <c r="M37" s="449" t="n"/>
      <c r="N37" s="449" t="n"/>
    </row>
    <row r="38" ht="27" customHeight="1" s="462">
      <c r="A38" s="423">
        <f>IF(B38="","",COUNTA($B$5:B38))</f>
        <v/>
      </c>
      <c r="B38" s="441" t="n"/>
      <c r="C38" s="440" t="n"/>
      <c r="D38" s="441" t="n"/>
      <c r="E38" s="441" t="n"/>
      <c r="F38" s="57" t="n"/>
      <c r="G38" s="303" t="n"/>
      <c r="H38" s="260" t="n"/>
      <c r="I38" s="119" t="n"/>
      <c r="J38" s="57" t="n"/>
      <c r="K38" s="72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M38" s="449" t="n"/>
      <c r="N38" s="449" t="n"/>
    </row>
    <row r="39" ht="27.75" customHeight="1" s="462">
      <c r="A39" s="423">
        <f>IF(B39="","",COUNTA($B$5:B39))</f>
        <v/>
      </c>
      <c r="B39" s="441" t="n"/>
      <c r="C39" s="440" t="n"/>
      <c r="D39" s="441" t="n"/>
      <c r="E39" s="440" t="n"/>
      <c r="F39" s="57" t="n"/>
      <c r="G39" s="303" t="n"/>
      <c r="H39" s="260" t="n"/>
      <c r="I39" s="119" t="n"/>
      <c r="J39" s="57" t="n"/>
      <c r="K39" s="72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M39" s="449" t="n"/>
      <c r="N39" s="449" t="n"/>
    </row>
    <row r="40" ht="27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302" t="n"/>
      <c r="H40" s="260" t="n"/>
      <c r="I40" s="119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M40" s="449" t="n"/>
    </row>
    <row r="41" ht="28.5" customHeight="1" s="462">
      <c r="A41" s="423">
        <f>IF(B41="","",COUNTA($B$5:B41))</f>
        <v/>
      </c>
      <c r="B41" s="441" t="n"/>
      <c r="C41" s="440" t="n"/>
      <c r="D41" s="441" t="n"/>
      <c r="E41" s="441" t="n"/>
      <c r="F41" s="57" t="n"/>
      <c r="G41" s="302" t="n"/>
      <c r="H41" s="260" t="n"/>
      <c r="I41" s="119" t="n"/>
      <c r="J41" s="57" t="n"/>
      <c r="K41" s="72" t="n"/>
      <c r="L41" s="61" t="n"/>
      <c r="M41" s="449" t="n"/>
    </row>
    <row r="42" ht="27" customHeight="1" s="462">
      <c r="A42" s="423">
        <f>IF(B42="","",COUNTA($B$5:B42))</f>
        <v/>
      </c>
      <c r="B42" s="441" t="n"/>
      <c r="C42" s="63" t="n"/>
      <c r="D42" s="441" t="n"/>
      <c r="E42" s="441" t="n"/>
      <c r="F42" s="57" t="n"/>
      <c r="G42" s="302" t="n"/>
      <c r="H42" s="260" t="n"/>
      <c r="I42" s="119" t="n"/>
      <c r="J42" s="57" t="n"/>
      <c r="K42" s="73" t="n"/>
      <c r="L42" s="61" t="n"/>
      <c r="M42" s="449" t="n"/>
      <c r="N42" s="449" t="n"/>
    </row>
    <row r="43" ht="27" customHeight="1" s="462">
      <c r="A43" s="423">
        <f>IF(B43="","",COUNTA($B$5:B43))</f>
        <v/>
      </c>
      <c r="B43" s="441" t="n"/>
      <c r="C43" s="63" t="n"/>
      <c r="D43" s="441" t="n"/>
      <c r="E43" s="441" t="n"/>
      <c r="F43" s="57" t="n"/>
      <c r="G43" s="303" t="n"/>
      <c r="H43" s="260" t="n"/>
      <c r="I43" s="119" t="n"/>
      <c r="J43" s="57" t="n"/>
      <c r="K43" s="73" t="n"/>
      <c r="L43" s="61" t="n"/>
      <c r="M43" s="449" t="n"/>
      <c r="N43" s="449" t="n"/>
    </row>
    <row r="44" ht="54" customHeight="1" s="462">
      <c r="A44" s="423">
        <f>IF(B44="","",COUNTA($B$5:B44))</f>
        <v/>
      </c>
      <c r="B44" s="441" t="n"/>
      <c r="C44" s="441" t="n"/>
      <c r="D44" s="282" t="n"/>
      <c r="E44" s="129" t="n"/>
      <c r="F44" s="57" t="n"/>
      <c r="G44" s="208" t="n"/>
      <c r="H44" s="281" t="n"/>
      <c r="I44" s="119" t="n"/>
      <c r="J44" s="57" t="n"/>
      <c r="K44" s="72" t="n"/>
      <c r="L44" s="61" t="n"/>
      <c r="M44" s="449" t="n"/>
      <c r="N44" s="449" t="n"/>
    </row>
    <row r="45" ht="27" customFormat="1" customHeight="1" s="22">
      <c r="A45" s="310">
        <f>IF(B45="","",COUNTA($B$5:B45))</f>
        <v/>
      </c>
      <c r="B45" s="420" t="n"/>
      <c r="C45" s="420" t="n"/>
      <c r="D45" s="420" t="n"/>
      <c r="E45" s="420" t="n"/>
      <c r="F45" s="420" t="n"/>
      <c r="G45" s="69" t="n"/>
      <c r="H45" s="70" t="n"/>
      <c r="I45" s="70" t="n"/>
      <c r="J45" s="420" t="n"/>
      <c r="K45" s="22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420" t="n"/>
      <c r="M45" s="420" t="n"/>
      <c r="N45" s="466" t="n"/>
    </row>
    <row r="46">
      <c r="B46" s="18" t="n"/>
      <c r="C46" s="18" t="n"/>
      <c r="D46" s="18" t="n"/>
      <c r="E46" s="18" t="n"/>
      <c r="F46" s="18" t="n"/>
      <c r="G46" s="19" t="n"/>
      <c r="H46" s="18" t="n"/>
      <c r="I46" s="18" t="n"/>
      <c r="J46" s="18" t="n"/>
      <c r="K46" s="18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>
      <c r="B47" s="18" t="n"/>
      <c r="C47" s="18" t="n"/>
      <c r="D47" s="18" t="n"/>
      <c r="E47" s="18" t="n"/>
      <c r="F47" s="18" t="n"/>
      <c r="G47" s="19" t="n"/>
      <c r="H47" s="18" t="n"/>
      <c r="I47" s="18" t="n"/>
      <c r="J47" s="18" t="n"/>
      <c r="K47" s="18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4.25" customHeight="1" s="462" thickBot="1">
      <c r="K48" s="2">
        <f t="array" ref="K48">IF(OR(H48="",L48=""),"",IFERROR(_xlfn.LET(_xlpm.vt,VLOOKUP(IFERROR(VALUE(LEFT(H48,FIND("＊",H48&amp;"＊")-1)),H48),運賃マスター!$A$22:$B$40,2,FALSE),_xlpm.d,L48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9">
      <c r="B49" s="22" t="n"/>
      <c r="C49" s="25" t="n"/>
      <c r="D49" s="25" t="inlineStr">
        <is>
          <t>現在待機場所</t>
        </is>
      </c>
      <c r="E49" s="25" t="inlineStr">
        <is>
          <t>待機予定場所</t>
        </is>
      </c>
      <c r="F49" s="466" t="n"/>
      <c r="H49" s="375" t="inlineStr">
        <is>
          <t>目標距離</t>
        </is>
      </c>
      <c r="I49" s="465" t="n"/>
      <c r="J49" s="467" t="n"/>
      <c r="K49" s="377">
        <f t="array" ref="K49">IF(OR(H49="",L49=""),"",IFERROR(_xlfn.LET(_xlpm.vt,VLOOKUP(IFERROR(VALUE(LEFT(H49,FIND("＊",H49&amp;"＊")-1)),H49),運賃マスター!$A$22:$B$40,2,FALSE),_xlpm.d,L49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50" ht="14.25" customHeight="1" s="462" thickBot="1">
      <c r="B50" s="26" t="inlineStr">
        <is>
          <t>2(255)</t>
        </is>
      </c>
      <c r="C50" s="21" t="inlineStr">
        <is>
          <t>山岸</t>
        </is>
      </c>
      <c r="D50" s="34" t="n"/>
      <c r="E50" s="34" t="n"/>
      <c r="F50" s="466" t="n"/>
      <c r="H50" s="468" t="n"/>
      <c r="I50" s="477" t="n"/>
      <c r="J50" s="469" t="n"/>
      <c r="K50" s="470" t="n"/>
    </row>
    <row r="51">
      <c r="B51" s="26" t="inlineStr">
        <is>
          <t>8(254)</t>
        </is>
      </c>
      <c r="C51" s="21" t="inlineStr">
        <is>
          <t>砂川</t>
        </is>
      </c>
      <c r="D51" s="35" t="n"/>
      <c r="E51" s="35" t="n"/>
      <c r="F51" s="466" t="n"/>
      <c r="H51" s="368" t="inlineStr">
        <is>
          <t>残距離</t>
        </is>
      </c>
      <c r="J51" s="471" t="n"/>
      <c r="K51" s="354">
        <f>550-SUM(L3:L45)-SUM(#REF!)</f>
        <v/>
      </c>
    </row>
    <row r="52" ht="14.25" customHeight="1" s="462" thickBot="1">
      <c r="B52" s="26" t="inlineStr">
        <is>
          <t>9(256)</t>
        </is>
      </c>
      <c r="C52" s="21" t="inlineStr">
        <is>
          <t>前川</t>
        </is>
      </c>
      <c r="D52" s="35" t="n"/>
      <c r="E52" s="35" t="n"/>
      <c r="F52" s="466" t="n"/>
      <c r="H52" s="468" t="n"/>
      <c r="I52" s="477" t="n"/>
      <c r="J52" s="469" t="n"/>
      <c r="K52" s="472" t="n"/>
    </row>
    <row r="53" ht="14.25" customHeight="1" s="462" thickBot="1">
      <c r="B53" s="26" t="inlineStr">
        <is>
          <t>10(257)</t>
        </is>
      </c>
      <c r="C53" s="35" t="n"/>
      <c r="D53" s="35" t="n"/>
      <c r="E53" s="35" t="n"/>
      <c r="F53" s="466" t="n"/>
      <c r="K53" s="2" t="n"/>
    </row>
    <row r="54">
      <c r="B54" s="26" t="inlineStr">
        <is>
          <t>11(258)</t>
        </is>
      </c>
      <c r="C54" s="21" t="inlineStr">
        <is>
          <t>郡司</t>
        </is>
      </c>
      <c r="D54" s="35" t="n"/>
      <c r="E54" s="35" t="n"/>
      <c r="F54" s="466" t="n"/>
      <c r="H54" s="350" t="inlineStr">
        <is>
          <t>依頼件数</t>
        </is>
      </c>
      <c r="I54" s="465" t="n"/>
      <c r="J54" s="467" t="n"/>
      <c r="K54" s="354">
        <f>SUM(#REF!)+SUM(SUM(#REF!))</f>
        <v/>
      </c>
    </row>
    <row r="55" ht="14.25" customHeight="1" s="462" thickBot="1">
      <c r="B55" s="26" t="inlineStr">
        <is>
          <t>12(736)</t>
        </is>
      </c>
      <c r="C55" s="21" t="n"/>
      <c r="D55" s="35" t="n"/>
      <c r="E55" s="35" t="n"/>
      <c r="F55" s="466" t="n"/>
      <c r="H55" s="468" t="n"/>
      <c r="I55" s="477" t="n"/>
      <c r="J55" s="469" t="n"/>
      <c r="K55" s="472" t="n"/>
    </row>
    <row r="56" ht="16.5" customHeight="1" s="462">
      <c r="B56" s="26" t="inlineStr">
        <is>
          <t>13(737)</t>
        </is>
      </c>
      <c r="C56" s="21" t="n"/>
      <c r="D56" s="35" t="n"/>
      <c r="E56" s="35" t="n"/>
      <c r="F56" s="466" t="n"/>
      <c r="H56" s="38" t="n"/>
      <c r="I56" s="38" t="n"/>
      <c r="J56" s="38" t="n"/>
      <c r="K56" s="39" t="n"/>
    </row>
    <row r="57" ht="16.5" customHeight="1" s="462">
      <c r="B57" s="40" t="inlineStr">
        <is>
          <t>14(738)</t>
        </is>
      </c>
      <c r="C57" s="21" t="inlineStr">
        <is>
          <t>辻井</t>
        </is>
      </c>
      <c r="D57" s="35" t="n"/>
      <c r="E57" s="35" t="n"/>
      <c r="F57" s="466" t="n"/>
      <c r="H57" s="38" t="n"/>
      <c r="I57" s="38" t="n"/>
      <c r="J57" s="38" t="n"/>
      <c r="K57" s="39" t="n"/>
    </row>
    <row r="58" ht="8.25" customHeight="1" s="462">
      <c r="B58" s="41" t="n"/>
      <c r="C58" s="42" t="n"/>
      <c r="D58" s="43" t="n"/>
      <c r="E58" s="44" t="n"/>
      <c r="F58" s="349" t="n"/>
      <c r="H58" s="38" t="n"/>
      <c r="I58" s="38" t="n"/>
      <c r="J58" s="38" t="n"/>
      <c r="K58" s="39" t="n"/>
    </row>
    <row r="59" ht="17.25" customHeight="1" s="462">
      <c r="B59" s="45" t="n">
        <v>7290</v>
      </c>
      <c r="C59" s="21" t="inlineStr">
        <is>
          <t>佐藤</t>
        </is>
      </c>
      <c r="D59" s="35" t="n"/>
      <c r="E59" s="348" t="n"/>
      <c r="F59" s="349" t="n"/>
      <c r="H59" s="38" t="n"/>
      <c r="I59" s="38" t="n"/>
      <c r="J59" s="38" t="n"/>
      <c r="K59" s="39" t="n"/>
    </row>
    <row r="60" ht="17.25" customHeight="1" s="462">
      <c r="B60" s="45" t="n">
        <v>7291</v>
      </c>
      <c r="C60" s="21" t="inlineStr">
        <is>
          <t>末次</t>
        </is>
      </c>
      <c r="D60" s="35" t="n"/>
      <c r="E60" s="348" t="n"/>
      <c r="F60" s="349" t="n"/>
      <c r="H60" s="38" t="n"/>
      <c r="I60" s="38" t="n"/>
      <c r="J60" s="38" t="n"/>
      <c r="K60" s="39" t="n"/>
    </row>
    <row r="61" ht="9" customHeight="1" s="462">
      <c r="B61" s="41" t="n"/>
      <c r="C61" s="42" t="n"/>
      <c r="D61" s="44" t="n"/>
      <c r="E61" s="44" t="n"/>
      <c r="F61" s="349" t="n"/>
      <c r="H61" s="38" t="n"/>
      <c r="I61" s="38" t="n"/>
      <c r="J61" s="38" t="n"/>
      <c r="K61" s="39" t="n"/>
    </row>
    <row r="62" ht="16.5" customHeight="1" s="462">
      <c r="B62" s="45" t="n">
        <v>333</v>
      </c>
      <c r="C62" s="21" t="inlineStr">
        <is>
          <t>金井/奥田</t>
        </is>
      </c>
      <c r="D62" s="35" t="n"/>
      <c r="E62" s="484" t="n"/>
      <c r="F62" s="469" t="n"/>
      <c r="H62" s="38" t="n"/>
      <c r="I62" s="38" t="n"/>
      <c r="J62" s="38" t="n"/>
      <c r="K62" s="39" t="n"/>
    </row>
    <row r="63" ht="16.5" customHeight="1" s="462">
      <c r="B63" s="46" t="n">
        <v>666</v>
      </c>
      <c r="C63" s="21" t="inlineStr">
        <is>
          <t>徳留</t>
        </is>
      </c>
      <c r="D63" s="35" t="n"/>
      <c r="E63" s="35" t="n"/>
      <c r="F63" s="466" t="n"/>
      <c r="H63" s="38" t="n"/>
      <c r="I63" s="38" t="n"/>
      <c r="J63" s="38" t="n"/>
      <c r="K63" s="39" t="n"/>
    </row>
    <row r="64" ht="16.5" customHeight="1" s="462">
      <c r="B64" s="46" t="n">
        <v>777</v>
      </c>
      <c r="C64" s="21" t="n"/>
      <c r="D64" s="35" t="n"/>
      <c r="E64" s="348" t="n"/>
      <c r="F64" s="349" t="n"/>
      <c r="H64" s="38" t="n"/>
      <c r="I64" s="38" t="n"/>
      <c r="J64" s="38" t="n"/>
      <c r="K64" s="39" t="n"/>
    </row>
    <row r="65" ht="16.5" customHeight="1" s="462">
      <c r="B65" s="47" t="n">
        <v>330</v>
      </c>
      <c r="C65" s="21" t="n"/>
      <c r="D65" s="35" t="n"/>
      <c r="E65" s="35" t="n"/>
      <c r="F65" s="466" t="n"/>
      <c r="H65" s="38" t="n"/>
      <c r="I65" s="38" t="n"/>
      <c r="J65" s="38" t="n"/>
      <c r="K65" s="39" t="n"/>
    </row>
    <row r="66" ht="16.5" customHeight="1" s="462">
      <c r="B66" s="47" t="n">
        <v>990</v>
      </c>
      <c r="C66" s="21" t="inlineStr">
        <is>
          <t>山原</t>
        </is>
      </c>
      <c r="D66" s="35" t="n"/>
      <c r="E66" s="35" t="n"/>
      <c r="F66" s="466" t="n"/>
      <c r="H66" s="38" t="n"/>
      <c r="I66" s="38" t="n"/>
      <c r="J66" s="38" t="n"/>
      <c r="K66" s="39" t="n"/>
    </row>
    <row r="67">
      <c r="K67" s="2" t="n"/>
    </row>
    <row r="68">
      <c r="C68" s="449" t="inlineStr">
        <is>
          <t>出発→到着</t>
        </is>
      </c>
      <c r="D68" s="420" t="inlineStr">
        <is>
          <t>備考</t>
        </is>
      </c>
      <c r="K68" s="2" t="n"/>
    </row>
    <row r="69">
      <c r="B69" s="27" t="inlineStr">
        <is>
          <t>①</t>
        </is>
      </c>
      <c r="C69" s="449" t="inlineStr">
        <is>
          <t>東→西</t>
        </is>
      </c>
      <c r="D69" s="485" t="inlineStr">
        <is>
          <t>①Aチーム優先</t>
        </is>
      </c>
      <c r="E69" s="486" t="n"/>
      <c r="F69" s="486" t="n"/>
      <c r="G69" s="486" t="n"/>
      <c r="H69" s="486" t="n"/>
      <c r="I69" s="486" t="n"/>
      <c r="J69" s="466" t="n"/>
      <c r="K69" s="2" t="n"/>
    </row>
    <row r="70">
      <c r="B70" s="27" t="inlineStr">
        <is>
          <t>②</t>
        </is>
      </c>
      <c r="C70" s="449" t="inlineStr">
        <is>
          <t>東→東</t>
        </is>
      </c>
      <c r="D70" s="485" t="inlineStr">
        <is>
          <t>②急ぎ案件の場合、道路状況も伝えてあげる。</t>
        </is>
      </c>
      <c r="E70" s="486" t="n"/>
      <c r="F70" s="486" t="n"/>
      <c r="G70" s="486" t="n"/>
      <c r="H70" s="486" t="n"/>
      <c r="I70" s="486" t="n"/>
      <c r="J70" s="466" t="n"/>
      <c r="K70" s="2" t="n"/>
    </row>
    <row r="71">
      <c r="B71" s="27" t="inlineStr">
        <is>
          <t>③</t>
        </is>
      </c>
      <c r="C71" s="449" t="inlineStr">
        <is>
          <t>西→東</t>
        </is>
      </c>
      <c r="D71" s="485" t="inlineStr">
        <is>
          <t>③各ドライバーの位置からの帰社のタイミング・夕方の配置</t>
        </is>
      </c>
      <c r="E71" s="486" t="n"/>
      <c r="F71" s="486" t="n"/>
      <c r="G71" s="486" t="n"/>
      <c r="H71" s="486" t="n"/>
      <c r="I71" s="486" t="n"/>
      <c r="J71" s="466" t="n"/>
      <c r="K71" s="2" t="n"/>
    </row>
    <row r="72">
      <c r="B72" s="27" t="inlineStr">
        <is>
          <t>④</t>
        </is>
      </c>
      <c r="C72" s="449" t="inlineStr">
        <is>
          <t>西→西</t>
        </is>
      </c>
      <c r="D72" s="485" t="inlineStr">
        <is>
          <t>④依頼を受ける際の、希望時間と現状の位置。行けるか行けないかの判断をしっかりと。</t>
        </is>
      </c>
      <c r="E72" s="486" t="n"/>
      <c r="F72" s="486" t="n"/>
      <c r="G72" s="486" t="n"/>
      <c r="H72" s="486" t="n"/>
      <c r="I72" s="486" t="n"/>
      <c r="J72" s="466" t="n"/>
      <c r="K72" s="2" t="n"/>
    </row>
    <row r="73">
      <c r="D73" s="485" t="inlineStr">
        <is>
          <t>⑤軽に乗るか乗らないかの判断に気を付ける。</t>
        </is>
      </c>
      <c r="E73" s="486" t="n"/>
      <c r="F73" s="486" t="n"/>
      <c r="G73" s="486" t="n"/>
      <c r="H73" s="486" t="n"/>
      <c r="I73" s="486" t="n"/>
      <c r="J73" s="466" t="n"/>
      <c r="K73" s="2" t="n"/>
    </row>
    <row r="74">
      <c r="B74" s="22" t="n"/>
      <c r="C74" s="420" t="inlineStr">
        <is>
          <t>現状配置(予測)</t>
        </is>
      </c>
      <c r="D74" s="485" t="inlineStr">
        <is>
          <t>⑥18/1日、1.8/1人、3件/1人</t>
        </is>
      </c>
      <c r="E74" s="486" t="n"/>
      <c r="F74" s="486" t="n"/>
      <c r="G74" s="486" t="n"/>
      <c r="H74" s="486" t="n"/>
      <c r="I74" s="486" t="n"/>
      <c r="J74" s="466" t="n"/>
      <c r="K74" s="2" t="n"/>
    </row>
    <row r="75">
      <c r="B75" s="420" t="inlineStr">
        <is>
          <t>西(神戸西・弥栄台)</t>
        </is>
      </c>
      <c r="C75" s="420" t="n"/>
      <c r="D75" s="485" t="inlineStr">
        <is>
          <t>⑦依頼書の見落とし(日付、入替、入出庫、場所）</t>
        </is>
      </c>
      <c r="E75" s="486" t="n"/>
      <c r="F75" s="486" t="n"/>
      <c r="G75" s="486" t="n"/>
      <c r="H75" s="486" t="n"/>
      <c r="I75" s="486" t="n"/>
      <c r="J75" s="466" t="n"/>
      <c r="K75" s="2" t="n"/>
    </row>
    <row r="76">
      <c r="B76" s="420" t="inlineStr">
        <is>
          <t>真ん中(摩耶・中央)</t>
        </is>
      </c>
      <c r="C76" s="420" t="n"/>
      <c r="D76" s="485" t="inlineStr">
        <is>
          <t>⑧3ｔ車と2ｔ車への振り方(西と東に振り分ける)</t>
        </is>
      </c>
      <c r="E76" s="486" t="n"/>
      <c r="F76" s="486" t="n"/>
      <c r="G76" s="486" t="n"/>
      <c r="H76" s="486" t="n"/>
      <c r="I76" s="486" t="n"/>
      <c r="J76" s="466" t="n"/>
      <c r="K76" s="2" t="n"/>
    </row>
    <row r="77">
      <c r="B77" s="420" t="inlineStr">
        <is>
          <t>東(尼崎・伊丹・西宮)</t>
        </is>
      </c>
      <c r="C77" s="420" t="n"/>
      <c r="D77" s="485" t="inlineStr">
        <is>
          <t>⑨</t>
        </is>
      </c>
      <c r="E77" s="486" t="n"/>
      <c r="F77" s="486" t="n"/>
      <c r="G77" s="486" t="n"/>
      <c r="H77" s="486" t="n"/>
      <c r="I77" s="486" t="n"/>
      <c r="J77" s="466" t="n"/>
      <c r="K77" s="2" t="n"/>
    </row>
    <row r="78">
      <c r="B78" s="48" t="inlineStr">
        <is>
          <t>極東(港区・淀屋橋)</t>
        </is>
      </c>
      <c r="C78" s="420" t="n"/>
      <c r="D78" s="49" t="n"/>
      <c r="E78" s="49" t="n"/>
      <c r="F78" s="49" t="n"/>
      <c r="G78" s="49" t="n"/>
      <c r="H78" s="49" t="n"/>
      <c r="I78" s="49" t="n"/>
      <c r="J78" s="49" t="n"/>
      <c r="K78" s="2" t="n"/>
    </row>
    <row r="79" ht="14.25" customHeight="1" s="462" thickBot="1">
      <c r="K79" s="2" t="n"/>
    </row>
    <row r="80">
      <c r="C80" s="473" t="inlineStr">
        <is>
          <t>合計額/380</t>
        </is>
      </c>
      <c r="D80" s="358">
        <f>SUM(G80)</f>
        <v/>
      </c>
      <c r="F80" s="360" t="inlineStr">
        <is>
          <t>売り上げ額</t>
        </is>
      </c>
      <c r="G80" s="362">
        <f>SUM(K4:K45)</f>
        <v/>
      </c>
      <c r="H80" s="465" t="n"/>
      <c r="I80" s="465" t="n"/>
      <c r="J80" s="467" t="n"/>
      <c r="K80" s="2" t="n"/>
    </row>
    <row r="81" ht="14.25" customHeight="1" s="462" thickBot="1">
      <c r="C81" s="474" t="n"/>
      <c r="D81" s="475" t="n"/>
      <c r="F81" s="468" t="n"/>
      <c r="G81" s="476" t="n"/>
      <c r="H81" s="477" t="n"/>
      <c r="I81" s="477" t="n"/>
      <c r="J81" s="469" t="n"/>
      <c r="K81" s="2" t="n"/>
    </row>
    <row r="82">
      <c r="C82" s="478" t="inlineStr">
        <is>
          <t>前日までの売上合計額</t>
        </is>
      </c>
      <c r="D82" s="479">
        <f>SUM(B91)</f>
        <v/>
      </c>
      <c r="K82" s="2" t="n"/>
    </row>
    <row r="83" ht="14.25" customHeight="1" s="462" thickBot="1">
      <c r="C83" s="480" t="n"/>
      <c r="D83" s="480" t="n"/>
      <c r="F83" s="420" t="inlineStr">
        <is>
          <t>金井（55)</t>
        </is>
      </c>
      <c r="G83" s="345" t="n"/>
      <c r="H83" s="466" t="n"/>
      <c r="I83" s="130" t="n"/>
      <c r="K83" s="2" t="n"/>
    </row>
    <row r="84" ht="14.25" customHeight="1" s="462" thickTop="1">
      <c r="D84" s="346">
        <f>D80+D82</f>
        <v/>
      </c>
      <c r="F84" s="420" t="inlineStr">
        <is>
          <t>粟津(55)</t>
        </is>
      </c>
      <c r="G84" s="340" t="n"/>
      <c r="H84" s="466" t="n"/>
      <c r="I84" s="131" t="n"/>
      <c r="K84" s="2" t="n"/>
    </row>
    <row r="85">
      <c r="F85" s="420" t="inlineStr">
        <is>
          <t>砂川(50)</t>
        </is>
      </c>
      <c r="G85" s="340" t="n"/>
      <c r="H85" s="466" t="n"/>
      <c r="I85" s="131" t="n"/>
      <c r="K85" s="2" t="n"/>
    </row>
    <row r="86">
      <c r="C86" s="2" t="inlineStr">
        <is>
          <t>高代</t>
        </is>
      </c>
      <c r="F86" s="420" t="inlineStr">
        <is>
          <t>前川(50)</t>
        </is>
      </c>
      <c r="G86" s="340" t="n"/>
      <c r="H86" s="466" t="n"/>
      <c r="I86" s="131" t="n"/>
      <c r="K86" s="2" t="n"/>
    </row>
    <row r="87">
      <c r="C87" s="2" t="inlineStr">
        <is>
          <t>返還代</t>
        </is>
      </c>
      <c r="F87" s="420" t="inlineStr">
        <is>
          <t>佐藤(50)</t>
        </is>
      </c>
      <c r="G87" s="345" t="n"/>
      <c r="H87" s="466" t="n"/>
      <c r="I87" s="130" t="n"/>
      <c r="K87" s="2" t="n"/>
    </row>
    <row r="88">
      <c r="C88" s="2" t="inlineStr">
        <is>
          <t>回収率</t>
        </is>
      </c>
      <c r="D88" s="50">
        <f>D87/D86</f>
        <v/>
      </c>
      <c r="F88" s="420" t="inlineStr">
        <is>
          <t>末次(55)</t>
        </is>
      </c>
      <c r="G88" s="340" t="n"/>
      <c r="H88" s="466" t="n"/>
      <c r="I88" s="131" t="n"/>
      <c r="K88" s="2" t="n"/>
    </row>
    <row r="89">
      <c r="C89" s="2" t="inlineStr">
        <is>
          <t>費</t>
        </is>
      </c>
      <c r="D89" s="2">
        <f>D86-D87</f>
        <v/>
      </c>
      <c r="F89" s="420" t="inlineStr">
        <is>
          <t>筒井(75)</t>
        </is>
      </c>
      <c r="G89" s="340" t="n"/>
      <c r="H89" s="466" t="n"/>
      <c r="I89" s="131" t="n"/>
      <c r="K89" s="2" t="n"/>
    </row>
    <row r="90">
      <c r="F90" s="420" t="inlineStr">
        <is>
          <t>山岸(40)</t>
        </is>
      </c>
      <c r="G90" s="340" t="n"/>
      <c r="H90" s="466" t="n"/>
      <c r="I90" s="131" t="n"/>
      <c r="K90" s="2" t="n"/>
    </row>
    <row r="91" ht="23.25" customHeight="1" s="462">
      <c r="B91" s="71" t="n"/>
      <c r="F91" s="420" t="inlineStr">
        <is>
          <t>多苗(30)</t>
        </is>
      </c>
      <c r="G91" s="340" t="n"/>
      <c r="H91" s="466" t="n"/>
      <c r="I91" s="131" t="n"/>
      <c r="K91" s="2" t="n"/>
      <c r="L91" s="2" t="inlineStr">
        <is>
          <t> </t>
        </is>
      </c>
    </row>
    <row r="92">
      <c r="K92" s="2" t="n"/>
    </row>
    <row r="93">
      <c r="K93" s="2" t="n"/>
    </row>
  </sheetData>
  <autoFilter ref="H2:H93"/>
  <mergeCells count="55">
    <mergeCell ref="D71:J71"/>
    <mergeCell ref="E50:F50"/>
    <mergeCell ref="K54:K55"/>
    <mergeCell ref="F80:F81"/>
    <mergeCell ref="E55:F55"/>
    <mergeCell ref="G86:H86"/>
    <mergeCell ref="E62:F62"/>
    <mergeCell ref="D74:J74"/>
    <mergeCell ref="K51:K52"/>
    <mergeCell ref="D80:D81"/>
    <mergeCell ref="D73:J73"/>
    <mergeCell ref="M5:N5"/>
    <mergeCell ref="E52:F52"/>
    <mergeCell ref="E51:F51"/>
    <mergeCell ref="B2:C2"/>
    <mergeCell ref="C80:C81"/>
    <mergeCell ref="M11:N11"/>
    <mergeCell ref="M20:N20"/>
    <mergeCell ref="H54:J55"/>
    <mergeCell ref="E63:F63"/>
    <mergeCell ref="D69:J69"/>
    <mergeCell ref="M40:N40"/>
    <mergeCell ref="G80:J81"/>
    <mergeCell ref="E65:F65"/>
    <mergeCell ref="G87:H87"/>
    <mergeCell ref="M7:N7"/>
    <mergeCell ref="G83:H83"/>
    <mergeCell ref="H49:J50"/>
    <mergeCell ref="M28:N28"/>
    <mergeCell ref="E49:F49"/>
    <mergeCell ref="C82:C83"/>
    <mergeCell ref="D77:J77"/>
    <mergeCell ref="G89:H89"/>
    <mergeCell ref="M45:N45"/>
    <mergeCell ref="M3:N3"/>
    <mergeCell ref="M41:N41"/>
    <mergeCell ref="H51:J52"/>
    <mergeCell ref="G88:H88"/>
    <mergeCell ref="D76:J76"/>
    <mergeCell ref="E57:F57"/>
    <mergeCell ref="G91:H91"/>
    <mergeCell ref="D70:J70"/>
    <mergeCell ref="E54:F54"/>
    <mergeCell ref="G85:H85"/>
    <mergeCell ref="D82:D83"/>
    <mergeCell ref="D75:J75"/>
    <mergeCell ref="K49:K50"/>
    <mergeCell ref="G90:H90"/>
    <mergeCell ref="E53:F53"/>
    <mergeCell ref="G84:H84"/>
    <mergeCell ref="D72:J72"/>
    <mergeCell ref="E66:F66"/>
    <mergeCell ref="E56:F56"/>
    <mergeCell ref="M4:N4"/>
    <mergeCell ref="D84:D85"/>
  </mergeCells>
  <conditionalFormatting sqref="K51:K52">
    <cfRule type="cellIs" priority="7" operator="lessThan" dxfId="7">
      <formula>-90</formula>
    </cfRule>
    <cfRule type="cellIs" priority="8" operator="lessThan" dxfId="7">
      <formula>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4 L7:L45">
    <cfRule type="cellIs" priority="1" operator="greaterThan" dxfId="0">
      <formula>30</formula>
    </cfRule>
  </conditionalFormatting>
  <conditionalFormatting sqref="D5:D54">
    <cfRule type="containsText" priority="9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45" horizontalDpi="1200" verticalDpi="1200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codeName="Sheet16">
    <tabColor rgb="FF00B0F0"/>
    <outlinePr summaryBelow="1" summaryRight="1"/>
    <pageSetUpPr fitToPage="1"/>
  </sheetPr>
  <dimension ref="A1:R73"/>
  <sheetViews>
    <sheetView topLeftCell="A40" zoomScaleNormal="100" workbookViewId="0">
      <selection activeCell="L62" sqref="L62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6384"/>
  </cols>
  <sheetData>
    <row r="1"/>
    <row r="2" ht="19.5" customHeight="1" s="462" thickBot="1">
      <c r="B2" s="493" t="n">
        <v>46182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4" t="n"/>
      <c r="D12" s="441" t="n"/>
      <c r="E12" s="63" t="n"/>
      <c r="F12" s="441" t="n"/>
      <c r="G12" s="59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64" t="n"/>
      <c r="E19" s="420" t="n"/>
      <c r="F19" s="57" t="n"/>
      <c r="G19" s="66" t="n"/>
      <c r="H19" s="74" t="n"/>
      <c r="I19" s="74" t="n"/>
      <c r="J19" s="420" t="n"/>
      <c r="K19" s="73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</row>
    <row r="20" ht="30" customHeight="1" s="462">
      <c r="A20" s="423">
        <f>IF(B20="","",COUNTA($B$5:B20))</f>
        <v/>
      </c>
      <c r="B20" s="57" t="n"/>
      <c r="C20" s="63" t="n"/>
      <c r="D20" s="441" t="n"/>
      <c r="E20" s="441" t="n"/>
      <c r="F20" s="57" t="n"/>
      <c r="G20" s="245" t="n"/>
      <c r="H20" s="74" t="n"/>
      <c r="I20" s="80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57" t="n"/>
      <c r="D21" s="441" t="n"/>
      <c r="E21" s="441" t="n"/>
      <c r="F21" s="57" t="n"/>
      <c r="G21" s="66" t="n"/>
      <c r="H21" s="74" t="n"/>
      <c r="I21" s="80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441" t="n"/>
      <c r="C22" s="440" t="n"/>
      <c r="D22" s="441" t="n"/>
      <c r="E22" s="440" t="n"/>
      <c r="F22" s="57" t="n"/>
      <c r="G22" s="65" t="n"/>
      <c r="H22" s="74" t="n"/>
      <c r="I22" s="74" t="n"/>
      <c r="J22" s="420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441" t="n"/>
      <c r="C23" s="63" t="n"/>
      <c r="D23" s="440" t="n"/>
      <c r="E23" s="441" t="n"/>
      <c r="F23" s="57" t="n"/>
      <c r="G23" s="59" t="n"/>
      <c r="H23" s="60" t="n"/>
      <c r="I23" s="60" t="n"/>
      <c r="J23" s="57" t="n"/>
      <c r="K23" s="73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441" t="n"/>
      <c r="C24" s="63" t="n"/>
      <c r="D24" s="440" t="n"/>
      <c r="E24" s="441" t="n"/>
      <c r="F24" s="57" t="n"/>
      <c r="G24" s="59" t="n"/>
      <c r="H24" s="60" t="n"/>
      <c r="I24" s="60" t="n"/>
      <c r="J24" s="57" t="n"/>
      <c r="K24" s="73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  <c r="R25" s="449" t="n"/>
    </row>
    <row r="26" ht="27.75" customHeight="1" s="462">
      <c r="A26" s="423">
        <f>IF(B26="","",COUNTA($B$5:B26))</f>
        <v/>
      </c>
      <c r="B26" s="420" t="n"/>
      <c r="C26" s="420" t="n"/>
      <c r="D26" s="420" t="n"/>
      <c r="E26" s="420" t="n"/>
      <c r="F26" s="420" t="n"/>
      <c r="G26" s="69" t="n"/>
      <c r="H26" s="70" t="n"/>
      <c r="I26" s="70" t="n"/>
      <c r="J26" s="420" t="n"/>
      <c r="K26" s="2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</row>
    <row r="27" ht="27" customHeight="1" s="462">
      <c r="B27" s="18" t="n"/>
      <c r="C27" s="18" t="n"/>
      <c r="D27" s="18" t="n"/>
      <c r="E27" s="18" t="n"/>
      <c r="F27" s="18" t="n"/>
      <c r="G27" s="19" t="n"/>
      <c r="H27" s="33" t="n"/>
      <c r="I27" s="18" t="n"/>
      <c r="J27" s="18" t="n"/>
      <c r="K27" s="18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8" ht="27" customHeight="1" s="462" thickBot="1">
      <c r="K28" s="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9" ht="27" customHeight="1" s="462">
      <c r="B29" s="22" t="n"/>
      <c r="C29" s="25" t="n"/>
      <c r="D29" s="25" t="inlineStr">
        <is>
          <t>現在待機場所</t>
        </is>
      </c>
      <c r="E29" s="25" t="inlineStr">
        <is>
          <t>待機予定場所</t>
        </is>
      </c>
      <c r="F29" s="466" t="n"/>
      <c r="H29" s="375" t="inlineStr">
        <is>
          <t>目標距離</t>
        </is>
      </c>
      <c r="I29" s="465" t="n"/>
      <c r="J29" s="467" t="n"/>
      <c r="K29" s="377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0" ht="27" customHeight="1" s="462" thickBot="1">
      <c r="B30" s="26" t="inlineStr">
        <is>
          <t>2(255)</t>
        </is>
      </c>
      <c r="C30" s="21" t="inlineStr">
        <is>
          <t>山岸</t>
        </is>
      </c>
      <c r="D30" s="34" t="n"/>
      <c r="E30" s="34" t="n"/>
      <c r="F30" s="466" t="n"/>
      <c r="H30" s="468" t="n"/>
      <c r="I30" s="477" t="n"/>
      <c r="J30" s="469" t="n"/>
      <c r="K30" s="470" t="n"/>
    </row>
    <row r="31">
      <c r="B31" s="26" t="inlineStr">
        <is>
          <t>8(254)</t>
        </is>
      </c>
      <c r="C31" s="21" t="inlineStr">
        <is>
          <t>砂川</t>
        </is>
      </c>
      <c r="D31" s="35" t="n"/>
      <c r="E31" s="35" t="n"/>
      <c r="F31" s="466" t="n"/>
      <c r="H31" s="368" t="inlineStr">
        <is>
          <t>残距離</t>
        </is>
      </c>
      <c r="J31" s="471" t="n"/>
      <c r="K31" s="354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14.25" customHeight="1" s="462" thickBot="1">
      <c r="B32" s="26" t="inlineStr">
        <is>
          <t>9(256)</t>
        </is>
      </c>
      <c r="C32" s="21" t="inlineStr">
        <is>
          <t>前川</t>
        </is>
      </c>
      <c r="D32" s="35" t="n"/>
      <c r="E32" s="35" t="n"/>
      <c r="F32" s="466" t="n"/>
      <c r="H32" s="468" t="n"/>
      <c r="I32" s="477" t="n"/>
      <c r="J32" s="469" t="n"/>
      <c r="K32" s="472" t="n"/>
    </row>
    <row r="33" ht="14.25" customHeight="1" s="462" thickBot="1">
      <c r="B33" s="26" t="inlineStr">
        <is>
          <t>10(257)</t>
        </is>
      </c>
      <c r="C33" s="35" t="n"/>
      <c r="D33" s="35" t="n"/>
      <c r="E33" s="35" t="n"/>
      <c r="F33" s="466" t="n"/>
      <c r="K33" s="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>
      <c r="B34" s="26" t="inlineStr">
        <is>
          <t>11(258)</t>
        </is>
      </c>
      <c r="C34" s="21" t="inlineStr">
        <is>
          <t>郡司</t>
        </is>
      </c>
      <c r="D34" s="35" t="n"/>
      <c r="E34" s="35" t="n"/>
      <c r="F34" s="466" t="n"/>
      <c r="H34" s="350" t="inlineStr">
        <is>
          <t>依頼件数</t>
        </is>
      </c>
      <c r="I34" s="465" t="n"/>
      <c r="J34" s="467" t="n"/>
      <c r="K34" s="354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5" ht="14.25" customHeight="1" s="462" thickBot="1">
      <c r="B35" s="26" t="inlineStr">
        <is>
          <t>12(736)</t>
        </is>
      </c>
      <c r="C35" s="21" t="n"/>
      <c r="D35" s="35" t="n"/>
      <c r="E35" s="35" t="n"/>
      <c r="F35" s="466" t="n"/>
      <c r="H35" s="468" t="n"/>
      <c r="I35" s="477" t="n"/>
      <c r="J35" s="469" t="n"/>
      <c r="K35" s="472" t="n"/>
    </row>
    <row r="36" ht="17.25" customHeight="1" s="462">
      <c r="B36" s="26" t="inlineStr">
        <is>
          <t>13(737)</t>
        </is>
      </c>
      <c r="C36" s="21" t="n"/>
      <c r="D36" s="35" t="n"/>
      <c r="E36" s="35" t="n"/>
      <c r="F36" s="466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7.25" customHeight="1" s="462">
      <c r="B37" s="40" t="inlineStr">
        <is>
          <t>14(738)</t>
        </is>
      </c>
      <c r="C37" s="21" t="inlineStr">
        <is>
          <t>辻井</t>
        </is>
      </c>
      <c r="D37" s="35" t="n"/>
      <c r="E37" s="35" t="n"/>
      <c r="F37" s="466" t="n"/>
      <c r="H37" s="38" t="n"/>
      <c r="I37" s="38" t="n"/>
      <c r="J37" s="38" t="n"/>
      <c r="K37" s="39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8" ht="17.25" customHeight="1" s="462">
      <c r="B38" s="41" t="n"/>
      <c r="C38" s="42" t="n"/>
      <c r="D38" s="43" t="n"/>
      <c r="E38" s="44" t="n"/>
      <c r="F38" s="349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 ht="17.25" customHeight="1" s="462">
      <c r="B39" s="45" t="n">
        <v>7290</v>
      </c>
      <c r="C39" s="21" t="inlineStr">
        <is>
          <t>佐藤</t>
        </is>
      </c>
      <c r="D39" s="35" t="n"/>
      <c r="E39" s="348" t="n"/>
      <c r="F39" s="349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16.5" customHeight="1" s="462">
      <c r="B40" s="45" t="n">
        <v>7291</v>
      </c>
      <c r="C40" s="21" t="inlineStr">
        <is>
          <t>末次</t>
        </is>
      </c>
      <c r="D40" s="35" t="n"/>
      <c r="E40" s="348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1" ht="16.5" customHeight="1" s="462">
      <c r="B41" s="41" t="n"/>
      <c r="C41" s="42" t="n"/>
      <c r="D41" s="44" t="n"/>
      <c r="E41" s="44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2" ht="8.25" customHeight="1" s="462">
      <c r="B42" s="45" t="n">
        <v>333</v>
      </c>
      <c r="C42" s="21" t="inlineStr">
        <is>
          <t>金井/奥田</t>
        </is>
      </c>
      <c r="D42" s="35" t="n"/>
      <c r="E42" s="484" t="n"/>
      <c r="F42" s="46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3" ht="17.25" customHeight="1" s="462">
      <c r="B43" s="46" t="n">
        <v>666</v>
      </c>
      <c r="C43" s="21" t="inlineStr">
        <is>
          <t>徳留</t>
        </is>
      </c>
      <c r="D43" s="35" t="n"/>
      <c r="E43" s="35" t="n"/>
      <c r="F43" s="466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4" ht="17.25" customHeight="1" s="462">
      <c r="B44" s="46" t="n">
        <v>777</v>
      </c>
      <c r="C44" s="21" t="n"/>
      <c r="D44" s="35" t="n"/>
      <c r="E44" s="348" t="n"/>
      <c r="F44" s="34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5" ht="9" customHeight="1" s="462">
      <c r="B45" s="47" t="n">
        <v>330</v>
      </c>
      <c r="C45" s="21" t="n"/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6.5" customHeight="1" s="462">
      <c r="B46" s="47" t="n">
        <v>990</v>
      </c>
      <c r="C46" s="21" t="inlineStr">
        <is>
          <t>山原</t>
        </is>
      </c>
      <c r="D46" s="35" t="n"/>
      <c r="E46" s="35" t="n"/>
      <c r="F46" s="466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 ht="16.5" customHeight="1" s="462">
      <c r="K47" s="2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6.5" customHeight="1" s="462">
      <c r="C48" s="449" t="inlineStr">
        <is>
          <t>出発→到着</t>
        </is>
      </c>
      <c r="D48" s="420" t="inlineStr">
        <is>
          <t>備考</t>
        </is>
      </c>
      <c r="K48" s="2" t="n"/>
    </row>
    <row r="49" ht="16.5" customHeight="1" s="462">
      <c r="B49" s="27" t="inlineStr">
        <is>
          <t>①</t>
        </is>
      </c>
      <c r="C49" s="449" t="inlineStr">
        <is>
          <t>東→西</t>
        </is>
      </c>
      <c r="D49" s="485" t="inlineStr">
        <is>
          <t>①Aチーム優先</t>
        </is>
      </c>
      <c r="E49" s="486" t="n"/>
      <c r="F49" s="486" t="n"/>
      <c r="G49" s="486" t="n"/>
      <c r="H49" s="486" t="n"/>
      <c r="I49" s="486" t="n"/>
      <c r="J49" s="466" t="n"/>
      <c r="K49" s="2" t="n"/>
    </row>
    <row r="50" ht="16.5" customHeight="1" s="462">
      <c r="B50" s="27" t="inlineStr">
        <is>
          <t>②</t>
        </is>
      </c>
      <c r="C50" s="449" t="inlineStr">
        <is>
          <t>東→東</t>
        </is>
      </c>
      <c r="D50" s="485" t="inlineStr">
        <is>
          <t>②急ぎ案件の場合、道路状況も伝えてあげる。</t>
        </is>
      </c>
      <c r="E50" s="486" t="n"/>
      <c r="F50" s="486" t="n"/>
      <c r="G50" s="486" t="n"/>
      <c r="H50" s="486" t="n"/>
      <c r="I50" s="486" t="n"/>
      <c r="J50" s="466" t="n"/>
      <c r="K50" s="2" t="n"/>
    </row>
    <row r="51">
      <c r="B51" s="27" t="inlineStr">
        <is>
          <t>③</t>
        </is>
      </c>
      <c r="C51" s="449" t="inlineStr">
        <is>
          <t>西→東</t>
        </is>
      </c>
      <c r="D51" s="485" t="inlineStr">
        <is>
          <t>③各ドライバーの位置からの帰社のタイミング・夕方の配置</t>
        </is>
      </c>
      <c r="E51" s="486" t="n"/>
      <c r="F51" s="486" t="n"/>
      <c r="G51" s="486" t="n"/>
      <c r="H51" s="486" t="n"/>
      <c r="I51" s="486" t="n"/>
      <c r="J51" s="466" t="n"/>
      <c r="K51" s="2" t="n"/>
    </row>
    <row r="52">
      <c r="B52" s="27" t="inlineStr">
        <is>
          <t>④</t>
        </is>
      </c>
      <c r="C52" s="449" t="inlineStr">
        <is>
          <t>西→西</t>
        </is>
      </c>
      <c r="D52" s="485" t="inlineStr">
        <is>
          <t>④依頼を受ける際の、希望時間と現状の位置。行けるか行けないかの判断をしっかりと。</t>
        </is>
      </c>
      <c r="E52" s="486" t="n"/>
      <c r="F52" s="486" t="n"/>
      <c r="G52" s="486" t="n"/>
      <c r="H52" s="486" t="n"/>
      <c r="I52" s="486" t="n"/>
      <c r="J52" s="466" t="n"/>
      <c r="K52" s="2" t="n"/>
    </row>
    <row r="53">
      <c r="D53" s="485" t="inlineStr">
        <is>
          <t>⑤軽に乗るか乗らないかの判断に気を付ける。</t>
        </is>
      </c>
      <c r="E53" s="486" t="n"/>
      <c r="F53" s="486" t="n"/>
      <c r="G53" s="486" t="n"/>
      <c r="H53" s="486" t="n"/>
      <c r="I53" s="486" t="n"/>
      <c r="J53" s="466" t="n"/>
      <c r="K53" s="2" t="n"/>
    </row>
    <row r="54">
      <c r="B54" s="22" t="n"/>
      <c r="C54" s="420" t="inlineStr">
        <is>
          <t>現状配置(予測)</t>
        </is>
      </c>
      <c r="D54" s="485" t="inlineStr">
        <is>
          <t>⑥18/1日、1.8/1人、3件/1人</t>
        </is>
      </c>
      <c r="E54" s="486" t="n"/>
      <c r="F54" s="486" t="n"/>
      <c r="G54" s="486" t="n"/>
      <c r="H54" s="486" t="n"/>
      <c r="I54" s="486" t="n"/>
      <c r="J54" s="466" t="n"/>
      <c r="K54" s="2" t="n"/>
    </row>
    <row r="55">
      <c r="B55" s="420" t="inlineStr">
        <is>
          <t>西(神戸西・弥栄台)</t>
        </is>
      </c>
      <c r="C55" s="420" t="n"/>
      <c r="D55" s="485" t="inlineStr">
        <is>
          <t>⑦依頼書の見落とし(日付、入替、入出庫、場所）</t>
        </is>
      </c>
      <c r="E55" s="486" t="n"/>
      <c r="F55" s="486" t="n"/>
      <c r="G55" s="486" t="n"/>
      <c r="H55" s="486" t="n"/>
      <c r="I55" s="486" t="n"/>
      <c r="J55" s="466" t="n"/>
      <c r="K55" s="2" t="n"/>
    </row>
    <row r="56">
      <c r="B56" s="420" t="inlineStr">
        <is>
          <t>真ん中(摩耶・中央)</t>
        </is>
      </c>
      <c r="C56" s="420" t="n"/>
      <c r="D56" s="485" t="inlineStr">
        <is>
          <t>⑧3ｔ車と2ｔ車への振り方(西と東に振り分ける)</t>
        </is>
      </c>
      <c r="E56" s="486" t="n"/>
      <c r="F56" s="486" t="n"/>
      <c r="G56" s="486" t="n"/>
      <c r="H56" s="486" t="n"/>
      <c r="I56" s="486" t="n"/>
      <c r="J56" s="466" t="n"/>
      <c r="K56" s="2" t="n"/>
    </row>
    <row r="57">
      <c r="B57" s="420" t="inlineStr">
        <is>
          <t>東(尼崎・伊丹・西宮)</t>
        </is>
      </c>
      <c r="C57" s="420" t="n"/>
      <c r="D57" s="485" t="inlineStr">
        <is>
          <t>⑨</t>
        </is>
      </c>
      <c r="E57" s="486" t="n"/>
      <c r="F57" s="486" t="n"/>
      <c r="G57" s="486" t="n"/>
      <c r="H57" s="486" t="n"/>
      <c r="I57" s="486" t="n"/>
      <c r="J57" s="466" t="n"/>
      <c r="K57" s="2" t="n"/>
    </row>
    <row r="58">
      <c r="B58" s="48" t="inlineStr">
        <is>
          <t>極東(港区・淀屋橋)</t>
        </is>
      </c>
      <c r="C58" s="420" t="n"/>
      <c r="D58" s="49" t="n"/>
      <c r="E58" s="49" t="n"/>
      <c r="F58" s="49" t="n"/>
      <c r="G58" s="49" t="n"/>
      <c r="H58" s="49" t="n"/>
      <c r="I58" s="49" t="n"/>
      <c r="J58" s="49" t="n"/>
      <c r="K58" s="2" t="n"/>
    </row>
    <row r="59" ht="14.25" customHeight="1" s="462" thickBot="1">
      <c r="K59" s="2" t="n"/>
    </row>
    <row r="60">
      <c r="C60" s="473" t="inlineStr">
        <is>
          <t>合計額/380</t>
        </is>
      </c>
      <c r="D60" s="358">
        <f>SUM(G60)</f>
        <v/>
      </c>
      <c r="F60" s="360" t="inlineStr">
        <is>
          <t>売り上げ額</t>
        </is>
      </c>
      <c r="G60" s="362">
        <f>SUM(K4:K50)+SUM('6　9 (2)'!K4:K33)</f>
        <v/>
      </c>
      <c r="H60" s="465" t="n"/>
      <c r="I60" s="465" t="n"/>
      <c r="J60" s="467" t="n"/>
      <c r="K60" s="2" t="n"/>
    </row>
    <row r="61" ht="14.25" customHeight="1" s="462" thickBot="1">
      <c r="C61" s="474" t="n"/>
      <c r="D61" s="475" t="n"/>
      <c r="F61" s="468" t="n"/>
      <c r="G61" s="476" t="n"/>
      <c r="H61" s="477" t="n"/>
      <c r="I61" s="477" t="n"/>
      <c r="J61" s="469" t="n"/>
      <c r="K61" s="2" t="n"/>
    </row>
    <row r="62">
      <c r="C62" s="478" t="inlineStr">
        <is>
          <t>前日までの売上合計額</t>
        </is>
      </c>
      <c r="D62" s="479">
        <f>SUM('6　8'!D53:D54)</f>
        <v/>
      </c>
      <c r="K62" s="2" t="n"/>
    </row>
    <row r="63" ht="14.25" customHeight="1" s="462" thickBot="1">
      <c r="C63" s="480" t="n"/>
      <c r="D63" s="480" t="n"/>
      <c r="F63" s="420" t="inlineStr">
        <is>
          <t>金井（55)</t>
        </is>
      </c>
      <c r="G63" s="345" t="n"/>
      <c r="H63" s="466" t="n"/>
      <c r="I63" s="130" t="n"/>
      <c r="K63" s="2" t="n"/>
    </row>
    <row r="64" ht="14.25" customHeight="1" s="462" thickTop="1">
      <c r="D64" s="346">
        <f>D60+D62</f>
        <v/>
      </c>
      <c r="F64" s="420" t="inlineStr">
        <is>
          <t>粟津(55)</t>
        </is>
      </c>
      <c r="G64" s="340" t="n"/>
      <c r="H64" s="466" t="n"/>
      <c r="I64" s="131" t="n"/>
      <c r="K64" s="2" t="n"/>
    </row>
    <row r="65">
      <c r="F65" s="420" t="inlineStr">
        <is>
          <t>砂川(50)</t>
        </is>
      </c>
      <c r="G65" s="340" t="n"/>
      <c r="H65" s="466" t="n"/>
      <c r="I65" s="131" t="n"/>
      <c r="K65" s="2" t="n"/>
    </row>
    <row r="66">
      <c r="C66" s="2" t="inlineStr">
        <is>
          <t>高代</t>
        </is>
      </c>
      <c r="F66" s="420" t="inlineStr">
        <is>
          <t>前川(50)</t>
        </is>
      </c>
      <c r="G66" s="340" t="n"/>
      <c r="H66" s="466" t="n"/>
      <c r="I66" s="131" t="n"/>
      <c r="K66" s="2" t="n"/>
    </row>
    <row r="67">
      <c r="C67" s="2" t="inlineStr">
        <is>
          <t>返還代</t>
        </is>
      </c>
      <c r="F67" s="420" t="inlineStr">
        <is>
          <t>佐藤(50)</t>
        </is>
      </c>
      <c r="G67" s="345" t="n"/>
      <c r="H67" s="466" t="n"/>
      <c r="I67" s="130" t="n"/>
      <c r="K67" s="2" t="n"/>
    </row>
    <row r="68">
      <c r="C68" s="2" t="inlineStr">
        <is>
          <t>回収率</t>
        </is>
      </c>
      <c r="D68" s="50">
        <f>D67/D66</f>
        <v/>
      </c>
      <c r="F68" s="420" t="inlineStr">
        <is>
          <t>末次(55)</t>
        </is>
      </c>
      <c r="G68" s="340" t="n"/>
      <c r="H68" s="466" t="n"/>
      <c r="I68" s="131" t="n"/>
      <c r="K68" s="2" t="n"/>
    </row>
    <row r="69">
      <c r="C69" s="2" t="inlineStr">
        <is>
          <t>費</t>
        </is>
      </c>
      <c r="D69" s="2">
        <f>D66-D67</f>
        <v/>
      </c>
      <c r="F69" s="420" t="inlineStr">
        <is>
          <t>筒井(75)</t>
        </is>
      </c>
      <c r="G69" s="340" t="n"/>
      <c r="H69" s="466" t="n"/>
      <c r="I69" s="131" t="n"/>
      <c r="K69" s="2" t="n"/>
    </row>
    <row r="70">
      <c r="F70" s="420" t="inlineStr">
        <is>
          <t>山岸(40)</t>
        </is>
      </c>
      <c r="G70" s="340" t="n"/>
      <c r="H70" s="466" t="n"/>
      <c r="I70" s="131" t="n"/>
      <c r="K70" s="2" t="n"/>
    </row>
    <row r="71" ht="17.25" customHeight="1" s="462">
      <c r="B71" s="71" t="n"/>
      <c r="F71" s="420" t="inlineStr">
        <is>
          <t>多苗(30)</t>
        </is>
      </c>
      <c r="G71" s="340" t="n"/>
      <c r="H71" s="466" t="n"/>
      <c r="I71" s="131" t="n"/>
      <c r="K71" s="2" t="n"/>
      <c r="L71" s="2" t="inlineStr">
        <is>
          <t> </t>
        </is>
      </c>
    </row>
    <row r="72">
      <c r="K72" s="2" t="n"/>
    </row>
    <row r="73">
      <c r="K73" s="2" t="n"/>
    </row>
    <row r="75" ht="23.25" customHeight="1" s="462"/>
  </sheetData>
  <mergeCells count="54">
    <mergeCell ref="E43:F43"/>
    <mergeCell ref="D56:J56"/>
    <mergeCell ref="Q3:R3"/>
    <mergeCell ref="Q21:R21"/>
    <mergeCell ref="E33:F33"/>
    <mergeCell ref="G71:H71"/>
    <mergeCell ref="E42:F42"/>
    <mergeCell ref="G67:H67"/>
    <mergeCell ref="D55:J55"/>
    <mergeCell ref="G70:H70"/>
    <mergeCell ref="D51:J51"/>
    <mergeCell ref="E35:F35"/>
    <mergeCell ref="B2:C2"/>
    <mergeCell ref="D54:J54"/>
    <mergeCell ref="D50:J50"/>
    <mergeCell ref="E29:F29"/>
    <mergeCell ref="Q5:R5"/>
    <mergeCell ref="Q20:R20"/>
    <mergeCell ref="Q23:R23"/>
    <mergeCell ref="H29:J30"/>
    <mergeCell ref="G66:H66"/>
    <mergeCell ref="Q19:R19"/>
    <mergeCell ref="K31:K32"/>
    <mergeCell ref="Q26:R26"/>
    <mergeCell ref="G69:H69"/>
    <mergeCell ref="E31:F31"/>
    <mergeCell ref="Q4:R4"/>
    <mergeCell ref="D62:D63"/>
    <mergeCell ref="E34:F34"/>
    <mergeCell ref="H31:J32"/>
    <mergeCell ref="E30:F30"/>
    <mergeCell ref="E46:F46"/>
    <mergeCell ref="G68:H68"/>
    <mergeCell ref="C60:C61"/>
    <mergeCell ref="D52:J52"/>
    <mergeCell ref="H34:J35"/>
    <mergeCell ref="E45:F45"/>
    <mergeCell ref="D64:D65"/>
    <mergeCell ref="Q22:R22"/>
    <mergeCell ref="E36:F36"/>
    <mergeCell ref="D57:J57"/>
    <mergeCell ref="G60:J61"/>
    <mergeCell ref="G65:H65"/>
    <mergeCell ref="D49:J49"/>
    <mergeCell ref="G64:H64"/>
    <mergeCell ref="K34:K35"/>
    <mergeCell ref="C62:C63"/>
    <mergeCell ref="E32:F32"/>
    <mergeCell ref="D60:D61"/>
    <mergeCell ref="D53:J53"/>
    <mergeCell ref="G63:H63"/>
    <mergeCell ref="F60:F61"/>
    <mergeCell ref="E37:F37"/>
    <mergeCell ref="K29:K30"/>
  </mergeCells>
  <conditionalFormatting sqref="L3:L26">
    <cfRule type="cellIs" priority="3" operator="greaterThan" dxfId="0">
      <formula>30</formula>
    </cfRule>
  </conditionalFormatting>
  <conditionalFormatting sqref="K31:K32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34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46" horizontalDpi="1200" verticalDpi="1200"/>
</worksheet>
</file>

<file path=xl/worksheets/sheet18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R68"/>
  <sheetViews>
    <sheetView zoomScale="70" zoomScaleNormal="70" workbookViewId="0">
      <selection activeCell="F16" sqref="F16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6384"/>
  </cols>
  <sheetData>
    <row r="1"/>
    <row r="2" ht="19.5" customHeight="1" s="462" thickBot="1">
      <c r="B2" s="493" t="n">
        <v>46182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inlineStr">
        <is>
          <t>藤岡：入校式
(10時50分～)</t>
        </is>
      </c>
      <c r="C4" s="51" t="n"/>
      <c r="D4" s="51" t="n"/>
      <c r="E4" s="52" t="n"/>
      <c r="F4" s="52" t="n"/>
      <c r="G4" s="53" t="n"/>
      <c r="H4" s="51" t="n"/>
      <c r="I4" s="256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66" t="n"/>
      <c r="H5" s="260" t="n"/>
      <c r="I5" s="314">
        <f>IFERROR(_xlfn.XLOOKUP(H5,案件・ドライバー一覧!$L$3:$L$17,案件・ドライバー一覧!$M$3:$M$17,""),"")</f>
        <v/>
      </c>
      <c r="J5" s="57" t="n"/>
      <c r="K5" s="72" t="n"/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57" t="n"/>
      <c r="D6" s="441" t="n"/>
      <c r="E6" s="441" t="n"/>
      <c r="F6" s="57" t="n"/>
      <c r="G6" s="66" t="n"/>
      <c r="H6" s="260" t="n"/>
      <c r="I6" s="295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</row>
    <row r="7" ht="27" customHeight="1" s="462">
      <c r="A7" s="423" t="n"/>
      <c r="B7" s="57" t="n"/>
      <c r="C7" s="57" t="n"/>
      <c r="D7" s="441" t="n"/>
      <c r="E7" s="441" t="n"/>
      <c r="F7" s="57" t="n"/>
      <c r="G7" s="66" t="n"/>
      <c r="H7" s="260" t="n"/>
      <c r="I7" s="295">
        <f>IFERROR(_xlfn.XLOOKUP(H7,案件・ドライバー一覧!$L$3:$L$17,案件・ドライバー一覧!$M$3:$M$17,""),"")</f>
        <v/>
      </c>
      <c r="J7" s="57" t="n"/>
      <c r="K7" s="72" t="n"/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441" t="n"/>
      <c r="D8" s="133" t="n"/>
      <c r="E8" s="441" t="n"/>
      <c r="F8" s="57" t="n"/>
      <c r="G8" s="247" t="n"/>
      <c r="H8" s="260" t="n"/>
      <c r="I8" s="314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IF(B9="","",COUNTA($B$5:B20))</f>
        <v/>
      </c>
      <c r="B9" s="57" t="n"/>
      <c r="C9" s="441" t="n"/>
      <c r="D9" s="63" t="n"/>
      <c r="E9" s="441" t="n"/>
      <c r="F9" s="57" t="n"/>
      <c r="G9" s="65" t="n"/>
      <c r="H9" s="260" t="n"/>
      <c r="I9" s="295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441" t="n"/>
      <c r="D10" s="133" t="n"/>
      <c r="E10" s="441" t="n"/>
      <c r="F10" s="57" t="n"/>
      <c r="G10" s="209" t="n"/>
      <c r="H10" s="260" t="n"/>
      <c r="I10" s="314">
        <f>IFERROR(_xlfn.XLOOKUP(H10,案件・ドライバー一覧!$L$3:$L$17,案件・ドライバー一覧!$M$3:$M$17,""),"")</f>
        <v/>
      </c>
      <c r="J10" s="57" t="n"/>
      <c r="K10" s="73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</row>
    <row r="11" ht="27.75" customHeight="1" s="462">
      <c r="A11" s="423">
        <f>IF(B11="","",COUNTA($B$5:B20))</f>
        <v/>
      </c>
      <c r="B11" s="441" t="n"/>
      <c r="C11" s="440" t="n"/>
      <c r="D11" s="441" t="n"/>
      <c r="E11" s="249" t="n"/>
      <c r="F11" s="57" t="n"/>
      <c r="G11" s="65" t="n"/>
      <c r="H11" s="260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40.5" customHeight="1" s="462">
      <c r="A12" s="423">
        <f>IF(B12="","",COUNTA($B$5:B12))</f>
        <v/>
      </c>
      <c r="B12" s="57" t="n"/>
      <c r="C12" s="63" t="n"/>
      <c r="D12" s="246" t="n"/>
      <c r="E12" s="441" t="n"/>
      <c r="F12" s="57" t="n"/>
      <c r="G12" s="65" t="n"/>
      <c r="H12" s="260" t="n"/>
      <c r="I12" s="315">
        <f>IFERROR(_xlfn.XLOOKUP(H12,案件・ドライバー一覧!$L$3:$L$17,案件・ドライバー一覧!$M$3:$M$17,""),"")</f>
        <v/>
      </c>
      <c r="J12" s="420" t="n"/>
      <c r="K12" s="72" t="n"/>
      <c r="L12" s="61" t="n"/>
      <c r="M12" s="449" t="n"/>
      <c r="N12" s="449" t="n"/>
      <c r="O12" s="449" t="n"/>
      <c r="P12" s="449" t="n"/>
      <c r="Q12" s="449" t="n"/>
    </row>
    <row r="13" ht="40.5" customHeight="1" s="462">
      <c r="A13" s="423">
        <f>IF(B13="","",COUNTA($B$5:B13))</f>
        <v/>
      </c>
      <c r="B13" s="57" t="n"/>
      <c r="C13" s="63" t="n"/>
      <c r="D13" s="441" t="n"/>
      <c r="E13" s="129" t="n"/>
      <c r="F13" s="57" t="n"/>
      <c r="G13" s="65" t="n"/>
      <c r="H13" s="260" t="n"/>
      <c r="I13" s="314">
        <f>IFERROR(_xlfn.XLOOKUP(H13,案件・ドライバー一覧!$L$3:$L$17,案件・ドライバー一覧!$M$3:$M$17,""),"")</f>
        <v/>
      </c>
      <c r="J13" s="57" t="n"/>
      <c r="K13" s="72" t="n"/>
      <c r="L13" s="61" t="n"/>
      <c r="M13" s="449" t="n"/>
      <c r="N13" s="449" t="n"/>
      <c r="O13" s="449" t="n"/>
      <c r="P13" s="449" t="n"/>
      <c r="Q13" s="449" t="n"/>
      <c r="R13" s="449" t="n"/>
    </row>
    <row r="14" ht="27.75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260" t="n"/>
      <c r="I14" s="314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441" t="n"/>
      <c r="D15" s="63" t="n"/>
      <c r="E15" s="441" t="n"/>
      <c r="F15" s="57" t="n"/>
      <c r="G15" s="247" t="n"/>
      <c r="H15" s="260" t="n"/>
      <c r="I15" s="314">
        <f>IFERROR(_xlfn.XLOOKUP(H15,案件・ドライバー一覧!$L$3:$L$17,案件・ドライバー一覧!$M$3:$M$17,""),"")</f>
        <v/>
      </c>
      <c r="J15" s="57" t="n"/>
      <c r="K15" s="72" t="n"/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441" t="n"/>
      <c r="D16" s="63" t="n"/>
      <c r="E16" s="441" t="n"/>
      <c r="F16" s="57" t="n"/>
      <c r="G16" s="66" t="n"/>
      <c r="H16" s="260" t="n"/>
      <c r="I16" s="119" t="n"/>
      <c r="J16" s="57" t="n"/>
      <c r="K16" s="72" t="n"/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441" t="n"/>
      <c r="D17" s="63" t="n"/>
      <c r="E17" s="441" t="n"/>
      <c r="F17" s="441" t="n"/>
      <c r="G17" s="65" t="n"/>
      <c r="H17" s="260" t="n"/>
      <c r="I17" s="119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246" t="n"/>
      <c r="E18" s="441" t="n"/>
      <c r="F18" s="57" t="n"/>
      <c r="G18" s="65" t="n"/>
      <c r="H18" s="260" t="n"/>
      <c r="I18" s="119" t="n"/>
      <c r="J18" s="57" t="n"/>
      <c r="K18" s="72" t="n"/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 t="n"/>
      <c r="B19" s="57" t="n"/>
      <c r="C19" s="63" t="n"/>
      <c r="D19" s="441" t="n"/>
      <c r="E19" s="441" t="n"/>
      <c r="F19" s="57" t="n"/>
      <c r="G19" s="65" t="n"/>
      <c r="H19" s="260" t="n"/>
      <c r="I19" s="119" t="n"/>
      <c r="J19" s="57" t="n"/>
      <c r="K19" s="72" t="n"/>
      <c r="L19" s="61" t="n"/>
      <c r="M19" s="449" t="n"/>
      <c r="N19" s="449" t="n"/>
      <c r="O19" s="449" t="n"/>
      <c r="P19" s="449" t="n"/>
      <c r="Q19" s="449" t="n"/>
      <c r="R19" s="449" t="n"/>
    </row>
    <row r="20" ht="27" customHeight="1" s="462">
      <c r="A20" s="423" t="n"/>
      <c r="B20" s="57" t="n"/>
      <c r="C20" s="63" t="n"/>
      <c r="D20" s="441" t="n"/>
      <c r="E20" s="441" t="n"/>
      <c r="F20" s="57" t="n"/>
      <c r="G20" s="65" t="n"/>
      <c r="H20" s="260" t="n"/>
      <c r="I20" s="119" t="n"/>
      <c r="J20" s="57" t="n"/>
      <c r="K20" s="72" t="n"/>
      <c r="L20" s="61" t="n"/>
      <c r="M20" s="449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420" t="n"/>
      <c r="C21" s="420" t="n"/>
      <c r="D21" s="420" t="n"/>
      <c r="E21" s="420" t="n"/>
      <c r="F21" s="420" t="n"/>
      <c r="G21" s="69" t="n"/>
      <c r="H21" s="70" t="n"/>
      <c r="I21" s="70" t="n"/>
      <c r="J21" s="420" t="n"/>
      <c r="K21" s="2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</row>
    <row r="22">
      <c r="B22" s="18" t="n"/>
      <c r="C22" s="18" t="n"/>
      <c r="D22" s="18" t="n"/>
      <c r="E22" s="18" t="n"/>
      <c r="F22" s="18" t="n"/>
      <c r="G22" s="19" t="n"/>
      <c r="H22" s="33" t="n"/>
      <c r="I22" s="18" t="n"/>
      <c r="J22" s="18" t="n"/>
      <c r="K22" s="18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3" ht="14.25" customHeight="1" s="462" thickBot="1">
      <c r="K23" s="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4">
      <c r="B24" s="22" t="n"/>
      <c r="C24" s="25" t="n"/>
      <c r="D24" s="25" t="inlineStr">
        <is>
          <t>現在待機場所</t>
        </is>
      </c>
      <c r="E24" s="25" t="inlineStr">
        <is>
          <t>待機予定場所</t>
        </is>
      </c>
      <c r="F24" s="466" t="n"/>
      <c r="H24" s="375" t="inlineStr">
        <is>
          <t>目標距離</t>
        </is>
      </c>
      <c r="I24" s="465" t="n"/>
      <c r="J24" s="467" t="n"/>
      <c r="K24" s="377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5" ht="14.25" customHeight="1" s="462" thickBot="1">
      <c r="B25" s="26" t="inlineStr">
        <is>
          <t>2(255)</t>
        </is>
      </c>
      <c r="C25" s="21" t="inlineStr">
        <is>
          <t>山岸</t>
        </is>
      </c>
      <c r="D25" s="34" t="n"/>
      <c r="E25" s="34" t="n"/>
      <c r="F25" s="466" t="n"/>
      <c r="H25" s="468" t="n"/>
      <c r="I25" s="477" t="n"/>
      <c r="J25" s="469" t="n"/>
      <c r="K25" s="470" t="n"/>
    </row>
    <row r="26">
      <c r="B26" s="26" t="inlineStr">
        <is>
          <t>8(254)</t>
        </is>
      </c>
      <c r="C26" s="21" t="inlineStr">
        <is>
          <t>砂川</t>
        </is>
      </c>
      <c r="D26" s="35" t="n"/>
      <c r="E26" s="35" t="n"/>
      <c r="F26" s="466" t="n"/>
      <c r="H26" s="368" t="inlineStr">
        <is>
          <t>残距離</t>
        </is>
      </c>
      <c r="J26" s="471" t="n"/>
      <c r="K26" s="354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7" ht="14.25" customHeight="1" s="462" thickBot="1">
      <c r="B27" s="26" t="inlineStr">
        <is>
          <t>9(256)</t>
        </is>
      </c>
      <c r="C27" s="21" t="inlineStr">
        <is>
          <t>前川</t>
        </is>
      </c>
      <c r="D27" s="35" t="n"/>
      <c r="E27" s="35" t="n"/>
      <c r="F27" s="466" t="n"/>
      <c r="H27" s="468" t="n"/>
      <c r="I27" s="477" t="n"/>
      <c r="J27" s="469" t="n"/>
      <c r="K27" s="472" t="n"/>
    </row>
    <row r="28" ht="14.25" customHeight="1" s="462" thickBot="1">
      <c r="B28" s="26" t="inlineStr">
        <is>
          <t>10(257)</t>
        </is>
      </c>
      <c r="C28" s="35" t="n"/>
      <c r="D28" s="35" t="n"/>
      <c r="E28" s="35" t="n"/>
      <c r="F28" s="466" t="n"/>
      <c r="K28" s="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9">
      <c r="B29" s="26" t="inlineStr">
        <is>
          <t>11(258)</t>
        </is>
      </c>
      <c r="C29" s="21" t="inlineStr">
        <is>
          <t>郡司</t>
        </is>
      </c>
      <c r="D29" s="35" t="n"/>
      <c r="E29" s="35" t="n"/>
      <c r="F29" s="466" t="n"/>
      <c r="H29" s="350" t="inlineStr">
        <is>
          <t>依頼件数</t>
        </is>
      </c>
      <c r="I29" s="465" t="n"/>
      <c r="J29" s="467" t="n"/>
      <c r="K29" s="354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0" ht="14.25" customHeight="1" s="462" thickBot="1">
      <c r="B30" s="26" t="inlineStr">
        <is>
          <t>12(736)</t>
        </is>
      </c>
      <c r="C30" s="21" t="n"/>
      <c r="D30" s="35" t="n"/>
      <c r="E30" s="35" t="n"/>
      <c r="F30" s="466" t="n"/>
      <c r="H30" s="468" t="n"/>
      <c r="I30" s="477" t="n"/>
      <c r="J30" s="469" t="n"/>
      <c r="K30" s="472" t="n"/>
    </row>
    <row r="31" ht="16.5" customHeight="1" s="462">
      <c r="B31" s="26" t="inlineStr">
        <is>
          <t>13(737)</t>
        </is>
      </c>
      <c r="C31" s="21" t="n"/>
      <c r="D31" s="35" t="n"/>
      <c r="E31" s="35" t="n"/>
      <c r="F31" s="466" t="n"/>
      <c r="H31" s="38" t="n"/>
      <c r="I31" s="38" t="n"/>
      <c r="J31" s="38" t="n"/>
      <c r="K31" s="39" t="n"/>
    </row>
    <row r="32" ht="16.5" customHeight="1" s="462">
      <c r="B32" s="40" t="inlineStr">
        <is>
          <t>14(738)</t>
        </is>
      </c>
      <c r="C32" s="21" t="inlineStr">
        <is>
          <t>辻井</t>
        </is>
      </c>
      <c r="D32" s="35" t="n"/>
      <c r="E32" s="35" t="n"/>
      <c r="F32" s="466" t="n"/>
      <c r="H32" s="38" t="n"/>
      <c r="I32" s="38" t="n"/>
      <c r="J32" s="38" t="n"/>
      <c r="K32" s="39" t="n"/>
    </row>
    <row r="33" ht="8.25" customHeight="1" s="462">
      <c r="B33" s="41" t="n"/>
      <c r="C33" s="42" t="n"/>
      <c r="D33" s="43" t="n"/>
      <c r="E33" s="44" t="n"/>
      <c r="F33" s="349" t="n"/>
      <c r="H33" s="38" t="n"/>
      <c r="I33" s="38" t="n"/>
      <c r="J33" s="38" t="n"/>
      <c r="K33" s="39" t="n"/>
    </row>
    <row r="34" ht="17.25" customHeight="1" s="462">
      <c r="B34" s="45" t="n">
        <v>7290</v>
      </c>
      <c r="C34" s="21" t="inlineStr">
        <is>
          <t>佐藤</t>
        </is>
      </c>
      <c r="D34" s="35" t="n"/>
      <c r="E34" s="348" t="n"/>
      <c r="F34" s="349" t="n"/>
      <c r="H34" s="38" t="n"/>
      <c r="I34" s="38" t="n"/>
      <c r="J34" s="38" t="n"/>
      <c r="K34" s="39" t="n"/>
    </row>
    <row r="35" ht="17.25" customHeight="1" s="462">
      <c r="B35" s="45" t="n">
        <v>7291</v>
      </c>
      <c r="C35" s="21" t="inlineStr">
        <is>
          <t>末次</t>
        </is>
      </c>
      <c r="D35" s="35" t="n"/>
      <c r="E35" s="348" t="n"/>
      <c r="F35" s="349" t="n"/>
      <c r="H35" s="38" t="n"/>
      <c r="I35" s="38" t="n"/>
      <c r="J35" s="38" t="n"/>
      <c r="K35" s="39" t="n"/>
    </row>
    <row r="36" ht="9" customHeight="1" s="462">
      <c r="B36" s="41" t="n"/>
      <c r="C36" s="42" t="n"/>
      <c r="D36" s="44" t="n"/>
      <c r="E36" s="44" t="n"/>
      <c r="F36" s="349" t="n"/>
      <c r="H36" s="38" t="n"/>
      <c r="I36" s="38" t="n"/>
      <c r="J36" s="38" t="n"/>
      <c r="K36" s="39" t="n"/>
    </row>
    <row r="37" ht="16.5" customHeight="1" s="462">
      <c r="B37" s="45" t="n">
        <v>333</v>
      </c>
      <c r="C37" s="21" t="inlineStr">
        <is>
          <t>金井/奥田</t>
        </is>
      </c>
      <c r="D37" s="35" t="n"/>
      <c r="E37" s="484" t="n"/>
      <c r="F37" s="469" t="n"/>
      <c r="H37" s="38" t="n"/>
      <c r="I37" s="38" t="n"/>
      <c r="J37" s="38" t="n"/>
      <c r="K37" s="39" t="n"/>
    </row>
    <row r="38" ht="16.5" customHeight="1" s="462">
      <c r="B38" s="46" t="n">
        <v>666</v>
      </c>
      <c r="C38" s="21" t="inlineStr">
        <is>
          <t>徳留</t>
        </is>
      </c>
      <c r="D38" s="35" t="n"/>
      <c r="E38" s="35" t="n"/>
      <c r="F38" s="466" t="n"/>
      <c r="H38" s="38" t="n"/>
      <c r="I38" s="38" t="n"/>
      <c r="J38" s="38" t="n"/>
      <c r="K38" s="39" t="n"/>
    </row>
    <row r="39" ht="16.5" customHeight="1" s="462">
      <c r="B39" s="46" t="n">
        <v>777</v>
      </c>
      <c r="C39" s="21" t="n"/>
      <c r="D39" s="35" t="n"/>
      <c r="E39" s="348" t="n"/>
      <c r="F39" s="349" t="n"/>
      <c r="H39" s="38" t="n"/>
      <c r="I39" s="38" t="n"/>
      <c r="J39" s="38" t="n"/>
      <c r="K39" s="39" t="n"/>
    </row>
    <row r="40" ht="16.5" customHeight="1" s="462">
      <c r="B40" s="47" t="n">
        <v>330</v>
      </c>
      <c r="C40" s="21" t="n"/>
      <c r="D40" s="35" t="n"/>
      <c r="E40" s="35" t="n"/>
      <c r="F40" s="466" t="n"/>
      <c r="H40" s="38" t="n"/>
      <c r="I40" s="38" t="n"/>
      <c r="J40" s="38" t="n"/>
      <c r="K40" s="39" t="n"/>
    </row>
    <row r="41" ht="16.5" customHeight="1" s="462">
      <c r="B41" s="47" t="n">
        <v>990</v>
      </c>
      <c r="C41" s="21" t="inlineStr">
        <is>
          <t>山原</t>
        </is>
      </c>
      <c r="D41" s="35" t="n"/>
      <c r="E41" s="35" t="n"/>
      <c r="F41" s="466" t="n"/>
      <c r="H41" s="38" t="n"/>
      <c r="I41" s="38" t="n"/>
      <c r="J41" s="38" t="n"/>
      <c r="K41" s="39" t="n"/>
    </row>
    <row r="42">
      <c r="K42" s="2" t="n"/>
    </row>
    <row r="43">
      <c r="C43" s="449" t="inlineStr">
        <is>
          <t>出発→到着</t>
        </is>
      </c>
      <c r="D43" s="420" t="inlineStr">
        <is>
          <t>備考</t>
        </is>
      </c>
      <c r="K43" s="2" t="n"/>
    </row>
    <row r="44">
      <c r="B44" s="27" t="inlineStr">
        <is>
          <t>①</t>
        </is>
      </c>
      <c r="C44" s="449" t="inlineStr">
        <is>
          <t>東→西</t>
        </is>
      </c>
      <c r="D44" s="485" t="inlineStr">
        <is>
          <t>①Aチーム優先</t>
        </is>
      </c>
      <c r="E44" s="486" t="n"/>
      <c r="F44" s="486" t="n"/>
      <c r="G44" s="486" t="n"/>
      <c r="H44" s="486" t="n"/>
      <c r="I44" s="486" t="n"/>
      <c r="J44" s="466" t="n"/>
      <c r="K44" s="2" t="n"/>
    </row>
    <row r="45">
      <c r="B45" s="27" t="inlineStr">
        <is>
          <t>②</t>
        </is>
      </c>
      <c r="C45" s="449" t="inlineStr">
        <is>
          <t>東→東</t>
        </is>
      </c>
      <c r="D45" s="485" t="inlineStr">
        <is>
          <t>②急ぎ案件の場合、道路状況も伝えてあげる。</t>
        </is>
      </c>
      <c r="E45" s="486" t="n"/>
      <c r="F45" s="486" t="n"/>
      <c r="G45" s="486" t="n"/>
      <c r="H45" s="486" t="n"/>
      <c r="I45" s="486" t="n"/>
      <c r="J45" s="466" t="n"/>
      <c r="K45" s="2" t="n"/>
    </row>
    <row r="46">
      <c r="B46" s="27" t="inlineStr">
        <is>
          <t>③</t>
        </is>
      </c>
      <c r="C46" s="449" t="inlineStr">
        <is>
          <t>西→東</t>
        </is>
      </c>
      <c r="D46" s="485" t="inlineStr">
        <is>
          <t>③各ドライバーの位置からの帰社のタイミング・夕方の配置</t>
        </is>
      </c>
      <c r="E46" s="486" t="n"/>
      <c r="F46" s="486" t="n"/>
      <c r="G46" s="486" t="n"/>
      <c r="H46" s="486" t="n"/>
      <c r="I46" s="486" t="n"/>
      <c r="J46" s="466" t="n"/>
      <c r="K46" s="2" t="n"/>
    </row>
    <row r="47">
      <c r="B47" s="27" t="inlineStr">
        <is>
          <t>④</t>
        </is>
      </c>
      <c r="C47" s="449" t="inlineStr">
        <is>
          <t>西→西</t>
        </is>
      </c>
      <c r="D47" s="485" t="inlineStr">
        <is>
          <t>④依頼を受ける際の、希望時間と現状の位置。行けるか行けないかの判断をしっかりと。</t>
        </is>
      </c>
      <c r="E47" s="486" t="n"/>
      <c r="F47" s="486" t="n"/>
      <c r="G47" s="486" t="n"/>
      <c r="H47" s="486" t="n"/>
      <c r="I47" s="486" t="n"/>
      <c r="J47" s="466" t="n"/>
      <c r="K47" s="2" t="n"/>
    </row>
    <row r="48">
      <c r="D48" s="485" t="inlineStr">
        <is>
          <t>⑤軽に乗るか乗らないかの判断に気を付ける。</t>
        </is>
      </c>
      <c r="E48" s="486" t="n"/>
      <c r="F48" s="486" t="n"/>
      <c r="G48" s="486" t="n"/>
      <c r="H48" s="486" t="n"/>
      <c r="I48" s="486" t="n"/>
      <c r="J48" s="466" t="n"/>
      <c r="K48" s="2" t="n"/>
    </row>
    <row r="49">
      <c r="B49" s="22" t="n"/>
      <c r="C49" s="420" t="inlineStr">
        <is>
          <t>現状配置(予測)</t>
        </is>
      </c>
      <c r="D49" s="485" t="inlineStr">
        <is>
          <t>⑥18/1日、1.8/1人、3件/1人</t>
        </is>
      </c>
      <c r="E49" s="486" t="n"/>
      <c r="F49" s="486" t="n"/>
      <c r="G49" s="486" t="n"/>
      <c r="H49" s="486" t="n"/>
      <c r="I49" s="486" t="n"/>
      <c r="J49" s="466" t="n"/>
      <c r="K49" s="2" t="n"/>
    </row>
    <row r="50">
      <c r="B50" s="420" t="inlineStr">
        <is>
          <t>西(神戸西・弥栄台)</t>
        </is>
      </c>
      <c r="C50" s="420" t="n"/>
      <c r="D50" s="485" t="inlineStr">
        <is>
          <t>⑦依頼書の見落とし(日付、入替、入出庫、場所）</t>
        </is>
      </c>
      <c r="E50" s="486" t="n"/>
      <c r="F50" s="486" t="n"/>
      <c r="G50" s="486" t="n"/>
      <c r="H50" s="486" t="n"/>
      <c r="I50" s="486" t="n"/>
      <c r="J50" s="466" t="n"/>
      <c r="K50" s="2" t="n"/>
    </row>
    <row r="51">
      <c r="B51" s="420" t="inlineStr">
        <is>
          <t>真ん中(摩耶・中央)</t>
        </is>
      </c>
      <c r="C51" s="420" t="n"/>
      <c r="D51" s="485" t="inlineStr">
        <is>
          <t>⑧3ｔ車と2ｔ車への振り方(西と東に振り分ける)</t>
        </is>
      </c>
      <c r="E51" s="486" t="n"/>
      <c r="F51" s="486" t="n"/>
      <c r="G51" s="486" t="n"/>
      <c r="H51" s="486" t="n"/>
      <c r="I51" s="486" t="n"/>
      <c r="J51" s="466" t="n"/>
      <c r="K51" s="2" t="n"/>
    </row>
    <row r="52">
      <c r="B52" s="420" t="inlineStr">
        <is>
          <t>東(尼崎・伊丹・西宮)</t>
        </is>
      </c>
      <c r="C52" s="420" t="n"/>
      <c r="D52" s="485" t="inlineStr">
        <is>
          <t>⑨</t>
        </is>
      </c>
      <c r="E52" s="486" t="n"/>
      <c r="F52" s="486" t="n"/>
      <c r="G52" s="486" t="n"/>
      <c r="H52" s="486" t="n"/>
      <c r="I52" s="486" t="n"/>
      <c r="J52" s="466" t="n"/>
      <c r="K52" s="2" t="n"/>
    </row>
    <row r="53">
      <c r="B53" s="48" t="inlineStr">
        <is>
          <t>極東(港区・淀屋橋)</t>
        </is>
      </c>
      <c r="C53" s="420" t="n"/>
      <c r="D53" s="49" t="n"/>
      <c r="E53" s="49" t="n"/>
      <c r="F53" s="49" t="n"/>
      <c r="G53" s="49" t="n"/>
      <c r="H53" s="49" t="n"/>
      <c r="I53" s="49" t="n"/>
      <c r="J53" s="49" t="n"/>
      <c r="K53" s="2" t="n"/>
    </row>
    <row r="54" ht="14.25" customHeight="1" s="462" thickBot="1">
      <c r="K54" s="2" t="n"/>
    </row>
    <row r="55">
      <c r="C55" s="473" t="inlineStr">
        <is>
          <t>合計額/380</t>
        </is>
      </c>
      <c r="D55" s="358">
        <f>SUM(G55)</f>
        <v/>
      </c>
      <c r="F55" s="360" t="inlineStr">
        <is>
          <t>売り上げ額</t>
        </is>
      </c>
      <c r="G55" s="362">
        <f>SUM(SUM(K4:K21))+SUM(#REF!)</f>
        <v/>
      </c>
      <c r="H55" s="465" t="n"/>
      <c r="I55" s="465" t="n"/>
      <c r="J55" s="467" t="n"/>
      <c r="K55" s="2" t="n"/>
    </row>
    <row r="56" ht="14.25" customHeight="1" s="462" thickBot="1">
      <c r="C56" s="474" t="n"/>
      <c r="D56" s="475" t="n"/>
      <c r="F56" s="468" t="n"/>
      <c r="G56" s="476" t="n"/>
      <c r="H56" s="477" t="n"/>
      <c r="I56" s="477" t="n"/>
      <c r="J56" s="469" t="n"/>
      <c r="K56" s="2" t="n"/>
    </row>
    <row r="57">
      <c r="C57" s="478" t="inlineStr">
        <is>
          <t>前日までの売上合計額</t>
        </is>
      </c>
      <c r="D57" s="479">
        <f>SUM(B66)</f>
        <v/>
      </c>
      <c r="K57" s="2" t="n"/>
    </row>
    <row r="58" ht="14.25" customHeight="1" s="462" thickBot="1">
      <c r="C58" s="480" t="n"/>
      <c r="D58" s="480" t="n"/>
      <c r="F58" s="420" t="inlineStr">
        <is>
          <t>金井（55)</t>
        </is>
      </c>
      <c r="G58" s="345" t="n"/>
      <c r="H58" s="466" t="n"/>
      <c r="I58" s="130" t="n"/>
      <c r="K58" s="2" t="n"/>
    </row>
    <row r="59" ht="14.25" customHeight="1" s="462" thickTop="1">
      <c r="D59" s="346">
        <f>D55+D57</f>
        <v/>
      </c>
      <c r="F59" s="420" t="inlineStr">
        <is>
          <t>粟津(55)</t>
        </is>
      </c>
      <c r="G59" s="340" t="n"/>
      <c r="H59" s="466" t="n"/>
      <c r="I59" s="131" t="n"/>
      <c r="K59" s="2" t="n"/>
    </row>
    <row r="60">
      <c r="F60" s="420" t="inlineStr">
        <is>
          <t>砂川(50)</t>
        </is>
      </c>
      <c r="G60" s="340" t="n"/>
      <c r="H60" s="466" t="n"/>
      <c r="I60" s="131" t="n"/>
      <c r="K60" s="2" t="n"/>
    </row>
    <row r="61">
      <c r="C61" s="2" t="inlineStr">
        <is>
          <t>高代</t>
        </is>
      </c>
      <c r="F61" s="420" t="inlineStr">
        <is>
          <t>前川(50)</t>
        </is>
      </c>
      <c r="G61" s="340" t="n"/>
      <c r="H61" s="466" t="n"/>
      <c r="I61" s="131" t="n"/>
      <c r="K61" s="2" t="n"/>
    </row>
    <row r="62">
      <c r="C62" s="2" t="inlineStr">
        <is>
          <t>返還代</t>
        </is>
      </c>
      <c r="F62" s="420" t="inlineStr">
        <is>
          <t>佐藤(50)</t>
        </is>
      </c>
      <c r="G62" s="345" t="n"/>
      <c r="H62" s="466" t="n"/>
      <c r="I62" s="130" t="n"/>
      <c r="K62" s="2" t="n"/>
    </row>
    <row r="63">
      <c r="C63" s="2" t="inlineStr">
        <is>
          <t>回収率</t>
        </is>
      </c>
      <c r="D63" s="50">
        <f>D62/D61</f>
        <v/>
      </c>
      <c r="F63" s="420" t="inlineStr">
        <is>
          <t>末次(55)</t>
        </is>
      </c>
      <c r="G63" s="340" t="n"/>
      <c r="H63" s="466" t="n"/>
      <c r="I63" s="131" t="n"/>
      <c r="K63" s="2" t="n"/>
    </row>
    <row r="64">
      <c r="C64" s="2" t="inlineStr">
        <is>
          <t>費</t>
        </is>
      </c>
      <c r="D64" s="2">
        <f>D61-D62</f>
        <v/>
      </c>
      <c r="F64" s="420" t="inlineStr">
        <is>
          <t>筒井(75)</t>
        </is>
      </c>
      <c r="G64" s="340" t="n"/>
      <c r="H64" s="466" t="n"/>
      <c r="I64" s="131" t="n"/>
      <c r="K64" s="2" t="n"/>
    </row>
    <row r="65">
      <c r="F65" s="420" t="inlineStr">
        <is>
          <t>山岸(40)</t>
        </is>
      </c>
      <c r="G65" s="340" t="n"/>
      <c r="H65" s="466" t="n"/>
      <c r="I65" s="131" t="n"/>
      <c r="K65" s="2" t="n"/>
    </row>
    <row r="66" ht="23.25" customHeight="1" s="462">
      <c r="B66" s="71" t="n"/>
      <c r="F66" s="420" t="inlineStr">
        <is>
          <t>多苗(30)</t>
        </is>
      </c>
      <c r="G66" s="340" t="n"/>
      <c r="H66" s="466" t="n"/>
      <c r="I66" s="131" t="n"/>
      <c r="K66" s="2" t="n"/>
      <c r="L66" s="2" t="inlineStr">
        <is>
          <t> </t>
        </is>
      </c>
    </row>
    <row r="67">
      <c r="K67" s="2" t="n"/>
    </row>
    <row r="68">
      <c r="K68" s="2" t="n"/>
    </row>
  </sheetData>
  <mergeCells count="52">
    <mergeCell ref="G59:H59"/>
    <mergeCell ref="Q3:R3"/>
    <mergeCell ref="H24:J25"/>
    <mergeCell ref="K26:K27"/>
    <mergeCell ref="E24:F24"/>
    <mergeCell ref="Q12:R12"/>
    <mergeCell ref="Q21:R21"/>
    <mergeCell ref="F55:F56"/>
    <mergeCell ref="G61:H61"/>
    <mergeCell ref="D51:J51"/>
    <mergeCell ref="B2:C2"/>
    <mergeCell ref="E38:F38"/>
    <mergeCell ref="D57:D58"/>
    <mergeCell ref="D50:J50"/>
    <mergeCell ref="E29:F29"/>
    <mergeCell ref="D44:J44"/>
    <mergeCell ref="Q5:R5"/>
    <mergeCell ref="H26:J27"/>
    <mergeCell ref="H29:J30"/>
    <mergeCell ref="E28:F28"/>
    <mergeCell ref="Q10:R10"/>
    <mergeCell ref="C55:C56"/>
    <mergeCell ref="G55:J56"/>
    <mergeCell ref="G66:H66"/>
    <mergeCell ref="G62:H62"/>
    <mergeCell ref="E40:F40"/>
    <mergeCell ref="E31:F31"/>
    <mergeCell ref="Q4:R4"/>
    <mergeCell ref="D46:J46"/>
    <mergeCell ref="E30:F30"/>
    <mergeCell ref="C57:C58"/>
    <mergeCell ref="D45:J45"/>
    <mergeCell ref="Q6:R6"/>
    <mergeCell ref="D52:J52"/>
    <mergeCell ref="E27:F27"/>
    <mergeCell ref="G58:H58"/>
    <mergeCell ref="G65:H65"/>
    <mergeCell ref="D55:D56"/>
    <mergeCell ref="E26:F26"/>
    <mergeCell ref="D49:J49"/>
    <mergeCell ref="G64:H64"/>
    <mergeCell ref="D48:J48"/>
    <mergeCell ref="E32:F32"/>
    <mergeCell ref="E25:F25"/>
    <mergeCell ref="E41:F41"/>
    <mergeCell ref="G63:H63"/>
    <mergeCell ref="D47:J47"/>
    <mergeCell ref="E37:F37"/>
    <mergeCell ref="K24:K25"/>
    <mergeCell ref="G60:H60"/>
    <mergeCell ref="K29:K30"/>
    <mergeCell ref="D59:D60"/>
  </mergeCells>
  <conditionalFormatting sqref="K26:K27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21">
    <cfRule type="cellIs" priority="1" operator="greaterThan" dxfId="0">
      <formula>30</formula>
    </cfRule>
  </conditionalFormatting>
  <conditionalFormatting sqref="D5:D29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46" horizontalDpi="1200" verticalDpi="1200"/>
</worksheet>
</file>

<file path=xl/worksheets/sheet19.xml><?xml version="1.0" encoding="utf-8"?>
<worksheet xmlns="http://schemas.openxmlformats.org/spreadsheetml/2006/main">
  <sheetPr codeName="Sheet18">
    <tabColor rgb="FFFF0000"/>
    <outlinePr summaryBelow="1" summaryRight="1"/>
    <pageSetUpPr/>
  </sheetPr>
  <dimension ref="A1:R75"/>
  <sheetViews>
    <sheetView zoomScaleNormal="100" workbookViewId="0">
      <selection activeCell="B2" sqref="B2:C2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6384"/>
  </cols>
  <sheetData>
    <row r="1"/>
    <row r="2" ht="27" customHeight="1" s="462" thickBot="1">
      <c r="B2" s="490" t="n">
        <v>46183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4" t="n"/>
      <c r="D13" s="441" t="n"/>
      <c r="E13" s="63" t="n"/>
      <c r="F13" s="441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2" t="n"/>
      <c r="D20" s="63" t="n"/>
      <c r="E20" s="441" t="n"/>
      <c r="F20" s="57" t="n"/>
      <c r="G20" s="66" t="n"/>
      <c r="H20" s="74" t="n"/>
      <c r="I20" s="8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57" t="n"/>
      <c r="G21" s="66" t="n"/>
      <c r="H21" s="74" t="n"/>
      <c r="I21" s="74" t="n"/>
      <c r="J21" s="420" t="n"/>
      <c r="K21" s="73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57" t="n"/>
      <c r="C22" s="420" t="n"/>
      <c r="D22" s="63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57" t="n"/>
      <c r="C23" s="57" t="n"/>
      <c r="D23" s="441" t="n"/>
      <c r="E23" s="441" t="n"/>
      <c r="F23" s="57" t="n"/>
      <c r="G23" s="66" t="n"/>
      <c r="H23" s="74" t="n"/>
      <c r="I23" s="80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441" t="n"/>
      <c r="C24" s="440" t="n"/>
      <c r="D24" s="441" t="n"/>
      <c r="E24" s="440" t="n"/>
      <c r="F24" s="57" t="n"/>
      <c r="G24" s="65" t="n"/>
      <c r="H24" s="74" t="n"/>
      <c r="I24" s="74" t="n"/>
      <c r="J24" s="420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441" t="n"/>
      <c r="C26" s="63" t="n"/>
      <c r="D26" s="440" t="n"/>
      <c r="E26" s="441" t="n"/>
      <c r="F26" s="57" t="n"/>
      <c r="G26" s="59" t="n"/>
      <c r="H26" s="60" t="n"/>
      <c r="I26" s="60" t="n"/>
      <c r="J26" s="57" t="n"/>
      <c r="K26" s="73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441" t="n"/>
      <c r="C27" s="63" t="n"/>
      <c r="D27" s="440" t="n"/>
      <c r="E27" s="441" t="n"/>
      <c r="F27" s="57" t="n"/>
      <c r="G27" s="59" t="n"/>
      <c r="H27" s="60" t="n"/>
      <c r="I27" s="60" t="n"/>
      <c r="J27" s="57" t="n"/>
      <c r="K27" s="73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  <c r="R27" s="449" t="n"/>
    </row>
    <row r="28" ht="27.75" customHeight="1" s="462">
      <c r="A28" s="423">
        <f>IF(B28="","",COUNTA($B$5:B28))</f>
        <v/>
      </c>
      <c r="B28" s="420" t="n"/>
      <c r="C28" s="420" t="n"/>
      <c r="D28" s="420" t="n"/>
      <c r="E28" s="420" t="n"/>
      <c r="F28" s="420" t="n"/>
      <c r="G28" s="69" t="n"/>
      <c r="H28" s="70" t="n"/>
      <c r="I28" s="70" t="n"/>
      <c r="J28" s="420" t="n"/>
      <c r="K28" s="2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</row>
    <row r="29" ht="27" customHeight="1" s="462">
      <c r="B29" s="18" t="n"/>
      <c r="C29" s="18" t="n"/>
      <c r="D29" s="18" t="n"/>
      <c r="E29" s="18" t="n"/>
      <c r="F29" s="18" t="n"/>
      <c r="G29" s="19" t="n"/>
      <c r="H29" s="33" t="n"/>
      <c r="I29" s="18" t="n"/>
      <c r="J29" s="18" t="n"/>
      <c r="K29" s="18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0" ht="27" customHeight="1" s="462" thickBot="1">
      <c r="K30" s="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1" ht="27" customHeight="1" s="462">
      <c r="B31" s="22" t="n"/>
      <c r="C31" s="25" t="n"/>
      <c r="D31" s="25" t="inlineStr">
        <is>
          <t>現在待機場所</t>
        </is>
      </c>
      <c r="E31" s="25" t="inlineStr">
        <is>
          <t>待機予定場所</t>
        </is>
      </c>
      <c r="F31" s="466" t="n"/>
      <c r="H31" s="375" t="inlineStr">
        <is>
          <t>目標距離</t>
        </is>
      </c>
      <c r="I31" s="465" t="n"/>
      <c r="J31" s="467" t="n"/>
      <c r="K31" s="377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27" customHeight="1" s="462" thickBot="1">
      <c r="B32" s="26" t="inlineStr">
        <is>
          <t>2(255)</t>
        </is>
      </c>
      <c r="C32" s="21" t="inlineStr">
        <is>
          <t>山岸</t>
        </is>
      </c>
      <c r="D32" s="34" t="n"/>
      <c r="E32" s="34" t="n"/>
      <c r="F32" s="466" t="n"/>
      <c r="H32" s="468" t="n"/>
      <c r="I32" s="477" t="n"/>
      <c r="J32" s="469" t="n"/>
      <c r="K32" s="470" t="n"/>
    </row>
    <row r="33">
      <c r="B33" s="26" t="inlineStr">
        <is>
          <t>8(254)</t>
        </is>
      </c>
      <c r="C33" s="21" t="inlineStr">
        <is>
          <t>砂川</t>
        </is>
      </c>
      <c r="D33" s="35" t="n"/>
      <c r="E33" s="35" t="n"/>
      <c r="F33" s="466" t="n"/>
      <c r="H33" s="368" t="inlineStr">
        <is>
          <t>残距離</t>
        </is>
      </c>
      <c r="J33" s="471" t="n"/>
      <c r="K33" s="354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 ht="14.25" customHeight="1" s="462" thickBot="1">
      <c r="B34" s="26" t="inlineStr">
        <is>
          <t>9(256)</t>
        </is>
      </c>
      <c r="C34" s="21" t="inlineStr">
        <is>
          <t>前川</t>
        </is>
      </c>
      <c r="D34" s="35" t="n"/>
      <c r="E34" s="35" t="n"/>
      <c r="F34" s="466" t="n"/>
      <c r="H34" s="468" t="n"/>
      <c r="I34" s="477" t="n"/>
      <c r="J34" s="469" t="n"/>
      <c r="K34" s="472" t="n"/>
    </row>
    <row r="35" ht="14.25" customHeight="1" s="462" thickBot="1">
      <c r="B35" s="26" t="inlineStr">
        <is>
          <t>10(257)</t>
        </is>
      </c>
      <c r="C35" s="35" t="n"/>
      <c r="D35" s="35" t="n"/>
      <c r="E35" s="35" t="n"/>
      <c r="F35" s="466" t="n"/>
      <c r="K35" s="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6">
      <c r="B36" s="26" t="inlineStr">
        <is>
          <t>11(258)</t>
        </is>
      </c>
      <c r="C36" s="21" t="inlineStr">
        <is>
          <t>郡司</t>
        </is>
      </c>
      <c r="D36" s="35" t="n"/>
      <c r="E36" s="35" t="n"/>
      <c r="F36" s="466" t="n"/>
      <c r="H36" s="350" t="inlineStr">
        <is>
          <t>依頼件数</t>
        </is>
      </c>
      <c r="I36" s="465" t="n"/>
      <c r="J36" s="467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4.25" customHeight="1" s="462" thickBot="1">
      <c r="B37" s="26" t="inlineStr">
        <is>
          <t>12(736)</t>
        </is>
      </c>
      <c r="C37" s="21" t="n"/>
      <c r="D37" s="35" t="n"/>
      <c r="E37" s="35" t="n"/>
      <c r="F37" s="466" t="n"/>
      <c r="H37" s="468" t="n"/>
      <c r="I37" s="477" t="n"/>
      <c r="J37" s="469" t="n"/>
      <c r="K37" s="472" t="n"/>
    </row>
    <row r="38" ht="17.25" customHeight="1" s="462">
      <c r="B38" s="26" t="inlineStr">
        <is>
          <t>13(737)</t>
        </is>
      </c>
      <c r="C38" s="21" t="n"/>
      <c r="D38" s="35" t="n"/>
      <c r="E38" s="35" t="n"/>
      <c r="F38" s="466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 ht="17.25" customHeight="1" s="462">
      <c r="B39" s="40" t="inlineStr">
        <is>
          <t>14(738)</t>
        </is>
      </c>
      <c r="C39" s="21" t="inlineStr">
        <is>
          <t>辻井</t>
        </is>
      </c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17.25" customHeight="1" s="462">
      <c r="B40" s="41" t="n"/>
      <c r="C40" s="42" t="n"/>
      <c r="D40" s="43" t="n"/>
      <c r="E40" s="44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1" ht="17.25" customHeight="1" s="462">
      <c r="B41" s="45" t="n">
        <v>7290</v>
      </c>
      <c r="C41" s="21" t="inlineStr">
        <is>
          <t>佐藤</t>
        </is>
      </c>
      <c r="D41" s="35" t="n"/>
      <c r="E41" s="348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2" ht="16.5" customHeight="1" s="462">
      <c r="B42" s="45" t="n">
        <v>7291</v>
      </c>
      <c r="C42" s="21" t="inlineStr">
        <is>
          <t>末次</t>
        </is>
      </c>
      <c r="D42" s="35" t="n"/>
      <c r="E42" s="348" t="n"/>
      <c r="F42" s="34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3" ht="16.5" customHeight="1" s="462">
      <c r="B43" s="41" t="n"/>
      <c r="C43" s="42" t="n"/>
      <c r="D43" s="44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4" ht="8.25" customHeight="1" s="462">
      <c r="B44" s="45" t="n">
        <v>333</v>
      </c>
      <c r="C44" s="21" t="inlineStr">
        <is>
          <t>金井/奥田</t>
        </is>
      </c>
      <c r="D44" s="35" t="n"/>
      <c r="E44" s="484" t="n"/>
      <c r="F44" s="46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5" ht="17.25" customHeight="1" s="462">
      <c r="B45" s="46" t="n">
        <v>666</v>
      </c>
      <c r="C45" s="21" t="inlineStr">
        <is>
          <t>徳留</t>
        </is>
      </c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7.25" customHeight="1" s="462">
      <c r="B46" s="46" t="n">
        <v>777</v>
      </c>
      <c r="C46" s="21" t="n"/>
      <c r="D46" s="35" t="n"/>
      <c r="E46" s="348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 ht="9" customHeight="1" s="462">
      <c r="B47" s="47" t="n">
        <v>330</v>
      </c>
      <c r="C47" s="21" t="n"/>
      <c r="D47" s="35" t="n"/>
      <c r="E47" s="35" t="n"/>
      <c r="F47" s="466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6.5" customHeight="1" s="462">
      <c r="B48" s="47" t="n">
        <v>990</v>
      </c>
      <c r="C48" s="21" t="inlineStr">
        <is>
          <t>山原</t>
        </is>
      </c>
      <c r="D48" s="35" t="n"/>
      <c r="E48" s="35" t="n"/>
      <c r="F48" s="466" t="n"/>
      <c r="H48" s="38" t="n"/>
      <c r="I48" s="38" t="n"/>
      <c r="J48" s="38" t="n"/>
      <c r="K48" s="39" t="n"/>
    </row>
    <row r="49" ht="16.5" customHeight="1" s="462">
      <c r="K49" s="2" t="n"/>
    </row>
    <row r="50" ht="16.5" customHeight="1" s="462">
      <c r="C50" s="449" t="inlineStr">
        <is>
          <t>出発→到着</t>
        </is>
      </c>
      <c r="D50" s="420" t="inlineStr">
        <is>
          <t>備考</t>
        </is>
      </c>
      <c r="K50" s="2" t="n"/>
    </row>
    <row r="51" ht="16.5" customHeight="1" s="462">
      <c r="B51" s="27" t="inlineStr">
        <is>
          <t>①</t>
        </is>
      </c>
      <c r="C51" s="449" t="inlineStr">
        <is>
          <t>東→西</t>
        </is>
      </c>
      <c r="D51" s="485" t="inlineStr">
        <is>
          <t>①Aチーム優先</t>
        </is>
      </c>
      <c r="E51" s="486" t="n"/>
      <c r="F51" s="486" t="n"/>
      <c r="G51" s="486" t="n"/>
      <c r="H51" s="486" t="n"/>
      <c r="I51" s="486" t="n"/>
      <c r="J51" s="466" t="n"/>
      <c r="K51" s="2" t="n"/>
    </row>
    <row r="52" ht="16.5" customHeight="1" s="462">
      <c r="B52" s="27" t="inlineStr">
        <is>
          <t>②</t>
        </is>
      </c>
      <c r="C52" s="449" t="inlineStr">
        <is>
          <t>東→東</t>
        </is>
      </c>
      <c r="D52" s="485" t="inlineStr">
        <is>
          <t>②急ぎ案件の場合、道路状況も伝えてあげる。</t>
        </is>
      </c>
      <c r="E52" s="486" t="n"/>
      <c r="F52" s="486" t="n"/>
      <c r="G52" s="486" t="n"/>
      <c r="H52" s="486" t="n"/>
      <c r="I52" s="486" t="n"/>
      <c r="J52" s="466" t="n"/>
      <c r="K52" s="2" t="n"/>
    </row>
    <row r="53">
      <c r="B53" s="27" t="inlineStr">
        <is>
          <t>③</t>
        </is>
      </c>
      <c r="C53" s="449" t="inlineStr">
        <is>
          <t>西→東</t>
        </is>
      </c>
      <c r="D53" s="485" t="inlineStr">
        <is>
          <t>③各ドライバーの位置からの帰社のタイミング・夕方の配置</t>
        </is>
      </c>
      <c r="E53" s="486" t="n"/>
      <c r="F53" s="486" t="n"/>
      <c r="G53" s="486" t="n"/>
      <c r="H53" s="486" t="n"/>
      <c r="I53" s="486" t="n"/>
      <c r="J53" s="466" t="n"/>
      <c r="K53" s="2" t="n"/>
    </row>
    <row r="54">
      <c r="B54" s="27" t="inlineStr">
        <is>
          <t>④</t>
        </is>
      </c>
      <c r="C54" s="449" t="inlineStr">
        <is>
          <t>西→西</t>
        </is>
      </c>
      <c r="D54" s="485" t="inlineStr">
        <is>
          <t>④依頼を受ける際の、希望時間と現状の位置。行けるか行けないかの判断をしっかりと。</t>
        </is>
      </c>
      <c r="E54" s="486" t="n"/>
      <c r="F54" s="486" t="n"/>
      <c r="G54" s="486" t="n"/>
      <c r="H54" s="486" t="n"/>
      <c r="I54" s="486" t="n"/>
      <c r="J54" s="466" t="n"/>
      <c r="K54" s="2" t="n"/>
    </row>
    <row r="55">
      <c r="D55" s="485" t="inlineStr">
        <is>
          <t>⑤軽に乗るか乗らないかの判断に気を付ける。</t>
        </is>
      </c>
      <c r="E55" s="486" t="n"/>
      <c r="F55" s="486" t="n"/>
      <c r="G55" s="486" t="n"/>
      <c r="H55" s="486" t="n"/>
      <c r="I55" s="486" t="n"/>
      <c r="J55" s="466" t="n"/>
      <c r="K55" s="2" t="n"/>
    </row>
    <row r="56">
      <c r="B56" s="22" t="n"/>
      <c r="C56" s="420" t="inlineStr">
        <is>
          <t>現状配置(予測)</t>
        </is>
      </c>
      <c r="D56" s="485" t="inlineStr">
        <is>
          <t>⑥18/1日、1.8/1人、3件/1人</t>
        </is>
      </c>
      <c r="E56" s="486" t="n"/>
      <c r="F56" s="486" t="n"/>
      <c r="G56" s="486" t="n"/>
      <c r="H56" s="486" t="n"/>
      <c r="I56" s="486" t="n"/>
      <c r="J56" s="466" t="n"/>
      <c r="K56" s="2" t="n"/>
    </row>
    <row r="57">
      <c r="B57" s="420" t="inlineStr">
        <is>
          <t>西(神戸西・弥栄台)</t>
        </is>
      </c>
      <c r="C57" s="420" t="n"/>
      <c r="D57" s="485" t="inlineStr">
        <is>
          <t>⑦依頼書の見落とし(日付、入替、入出庫、場所）</t>
        </is>
      </c>
      <c r="E57" s="486" t="n"/>
      <c r="F57" s="486" t="n"/>
      <c r="G57" s="486" t="n"/>
      <c r="H57" s="486" t="n"/>
      <c r="I57" s="486" t="n"/>
      <c r="J57" s="466" t="n"/>
      <c r="K57" s="2" t="n"/>
    </row>
    <row r="58">
      <c r="B58" s="420" t="inlineStr">
        <is>
          <t>真ん中(摩耶・中央)</t>
        </is>
      </c>
      <c r="C58" s="420" t="n"/>
      <c r="D58" s="485" t="inlineStr">
        <is>
          <t>⑧3ｔ車と2ｔ車への振り方(西と東に振り分ける)</t>
        </is>
      </c>
      <c r="E58" s="486" t="n"/>
      <c r="F58" s="486" t="n"/>
      <c r="G58" s="486" t="n"/>
      <c r="H58" s="486" t="n"/>
      <c r="I58" s="486" t="n"/>
      <c r="J58" s="466" t="n"/>
      <c r="K58" s="2" t="n"/>
    </row>
    <row r="59">
      <c r="B59" s="420" t="inlineStr">
        <is>
          <t>東(尼崎・伊丹・西宮)</t>
        </is>
      </c>
      <c r="C59" s="420" t="n"/>
      <c r="D59" s="485" t="inlineStr">
        <is>
          <t>⑨</t>
        </is>
      </c>
      <c r="E59" s="486" t="n"/>
      <c r="F59" s="486" t="n"/>
      <c r="G59" s="486" t="n"/>
      <c r="H59" s="486" t="n"/>
      <c r="I59" s="486" t="n"/>
      <c r="J59" s="466" t="n"/>
      <c r="K59" s="2" t="n"/>
    </row>
    <row r="60">
      <c r="B60" s="48" t="inlineStr">
        <is>
          <t>極東(港区・淀屋橋)</t>
        </is>
      </c>
      <c r="C60" s="420" t="n"/>
      <c r="D60" s="49" t="n"/>
      <c r="E60" s="49" t="n"/>
      <c r="F60" s="49" t="n"/>
      <c r="G60" s="49" t="n"/>
      <c r="H60" s="49" t="n"/>
      <c r="I60" s="49" t="n"/>
      <c r="J60" s="49" t="n"/>
      <c r="K60" s="2" t="n"/>
    </row>
    <row r="61" ht="14.25" customHeight="1" s="462" thickBot="1">
      <c r="K61" s="2" t="n"/>
    </row>
    <row r="62">
      <c r="C62" s="473" t="inlineStr">
        <is>
          <t>合計額/380</t>
        </is>
      </c>
      <c r="D62" s="358">
        <f>SUM(G62)</f>
        <v/>
      </c>
      <c r="F62" s="360" t="inlineStr">
        <is>
          <t>売り上げ額</t>
        </is>
      </c>
      <c r="G62" s="362">
        <f>SUM(SUM(K4:K28))+SUM(#REF!)</f>
        <v/>
      </c>
      <c r="H62" s="465" t="n"/>
      <c r="I62" s="465" t="n"/>
      <c r="J62" s="467" t="n"/>
      <c r="K62" s="2" t="n"/>
    </row>
    <row r="63" ht="14.25" customHeight="1" s="462" thickBot="1">
      <c r="C63" s="474" t="n"/>
      <c r="D63" s="475" t="n"/>
      <c r="F63" s="468" t="n"/>
      <c r="G63" s="476" t="n"/>
      <c r="H63" s="477" t="n"/>
      <c r="I63" s="477" t="n"/>
      <c r="J63" s="469" t="n"/>
      <c r="K63" s="2" t="n"/>
    </row>
    <row r="64">
      <c r="C64" s="478" t="inlineStr">
        <is>
          <t>前日までの売上合計額</t>
        </is>
      </c>
      <c r="D64" s="479">
        <f>SUM(B73)</f>
        <v/>
      </c>
      <c r="K64" s="2" t="n"/>
    </row>
    <row r="65" ht="14.25" customHeight="1" s="462" thickBot="1">
      <c r="C65" s="480" t="n"/>
      <c r="D65" s="480" t="n"/>
      <c r="F65" s="420" t="inlineStr">
        <is>
          <t>金井（55)</t>
        </is>
      </c>
      <c r="G65" s="345" t="n"/>
      <c r="H65" s="466" t="n"/>
      <c r="I65" s="130" t="n"/>
      <c r="K65" s="2" t="n"/>
    </row>
    <row r="66" ht="14.25" customHeight="1" s="462" thickTop="1">
      <c r="D66" s="346">
        <f>D62+D64</f>
        <v/>
      </c>
      <c r="F66" s="420" t="inlineStr">
        <is>
          <t>粟津(55)</t>
        </is>
      </c>
      <c r="G66" s="340" t="n"/>
      <c r="H66" s="466" t="n"/>
      <c r="I66" s="131" t="n"/>
      <c r="K66" s="2" t="n"/>
    </row>
    <row r="67">
      <c r="F67" s="420" t="inlineStr">
        <is>
          <t>砂川(50)</t>
        </is>
      </c>
      <c r="G67" s="340" t="n"/>
      <c r="H67" s="466" t="n"/>
      <c r="I67" s="131" t="n"/>
      <c r="K67" s="2" t="n"/>
    </row>
    <row r="68">
      <c r="C68" s="2" t="inlineStr">
        <is>
          <t>高代</t>
        </is>
      </c>
      <c r="F68" s="420" t="inlineStr">
        <is>
          <t>前川(50)</t>
        </is>
      </c>
      <c r="G68" s="340" t="n"/>
      <c r="H68" s="466" t="n"/>
      <c r="I68" s="131" t="n"/>
      <c r="K68" s="2" t="n"/>
    </row>
    <row r="69">
      <c r="C69" s="2" t="inlineStr">
        <is>
          <t>返還代</t>
        </is>
      </c>
      <c r="F69" s="420" t="inlineStr">
        <is>
          <t>佐藤(50)</t>
        </is>
      </c>
      <c r="G69" s="345" t="n"/>
      <c r="H69" s="466" t="n"/>
      <c r="I69" s="130" t="n"/>
      <c r="K69" s="2" t="n"/>
    </row>
    <row r="70">
      <c r="C70" s="2" t="inlineStr">
        <is>
          <t>回収率</t>
        </is>
      </c>
      <c r="D70" s="50">
        <f>D69/D68</f>
        <v/>
      </c>
      <c r="F70" s="420" t="inlineStr">
        <is>
          <t>末次(55)</t>
        </is>
      </c>
      <c r="G70" s="340" t="n"/>
      <c r="H70" s="466" t="n"/>
      <c r="I70" s="131" t="n"/>
      <c r="K70" s="2" t="n"/>
    </row>
    <row r="71">
      <c r="C71" s="2" t="inlineStr">
        <is>
          <t>費</t>
        </is>
      </c>
      <c r="D71" s="2">
        <f>D68-D69</f>
        <v/>
      </c>
      <c r="F71" s="420" t="inlineStr">
        <is>
          <t>筒井(75)</t>
        </is>
      </c>
      <c r="G71" s="340" t="n"/>
      <c r="H71" s="466" t="n"/>
      <c r="I71" s="131" t="n"/>
      <c r="K71" s="2" t="n"/>
    </row>
    <row r="72">
      <c r="F72" s="420" t="inlineStr">
        <is>
          <t>山岸(40)</t>
        </is>
      </c>
      <c r="G72" s="340" t="n"/>
      <c r="H72" s="466" t="n"/>
      <c r="I72" s="131" t="n"/>
      <c r="K72" s="2" t="n"/>
    </row>
    <row r="73" ht="17.25" customHeight="1" s="462">
      <c r="B73" s="71" t="n"/>
      <c r="F73" s="420" t="inlineStr">
        <is>
          <t>多苗(30)</t>
        </is>
      </c>
      <c r="G73" s="340" t="n"/>
      <c r="H73" s="466" t="n"/>
      <c r="I73" s="131" t="n"/>
      <c r="K73" s="2" t="n"/>
      <c r="L73" s="2" t="inlineStr">
        <is>
          <t> </t>
        </is>
      </c>
    </row>
    <row r="74">
      <c r="K74" s="2" t="n"/>
    </row>
    <row r="75">
      <c r="K75" s="2" t="n"/>
    </row>
    <row r="77" ht="23.25" customHeight="1" s="462"/>
  </sheetData>
  <autoFilter ref="H1:H7"/>
  <mergeCells count="55">
    <mergeCell ref="K36:K37"/>
    <mergeCell ref="Q25:R25"/>
    <mergeCell ref="D56:J56"/>
    <mergeCell ref="Q3:R3"/>
    <mergeCell ref="Q21:R21"/>
    <mergeCell ref="K33:K34"/>
    <mergeCell ref="D58:J58"/>
    <mergeCell ref="E33:F33"/>
    <mergeCell ref="Q28:R28"/>
    <mergeCell ref="G71:H71"/>
    <mergeCell ref="Q24:R24"/>
    <mergeCell ref="G67:H67"/>
    <mergeCell ref="D55:J55"/>
    <mergeCell ref="E48:F48"/>
    <mergeCell ref="G70:H70"/>
    <mergeCell ref="E39:F39"/>
    <mergeCell ref="H33:J34"/>
    <mergeCell ref="D51:J51"/>
    <mergeCell ref="E44:F44"/>
    <mergeCell ref="E35:F35"/>
    <mergeCell ref="B2:C2"/>
    <mergeCell ref="E38:F38"/>
    <mergeCell ref="D54:J54"/>
    <mergeCell ref="G62:J63"/>
    <mergeCell ref="D66:D67"/>
    <mergeCell ref="D59:J59"/>
    <mergeCell ref="Q5:R5"/>
    <mergeCell ref="Q20:R20"/>
    <mergeCell ref="Q23:R23"/>
    <mergeCell ref="G66:H66"/>
    <mergeCell ref="K31:K32"/>
    <mergeCell ref="G69:H69"/>
    <mergeCell ref="E31:F31"/>
    <mergeCell ref="Q4:R4"/>
    <mergeCell ref="D62:D63"/>
    <mergeCell ref="E34:F34"/>
    <mergeCell ref="F62:F63"/>
    <mergeCell ref="H31:J32"/>
    <mergeCell ref="G68:H68"/>
    <mergeCell ref="D52:J52"/>
    <mergeCell ref="E45:F45"/>
    <mergeCell ref="D64:D65"/>
    <mergeCell ref="Q22:R22"/>
    <mergeCell ref="E36:F36"/>
    <mergeCell ref="D57:J57"/>
    <mergeCell ref="G65:H65"/>
    <mergeCell ref="H36:J37"/>
    <mergeCell ref="C62:C63"/>
    <mergeCell ref="G73:H73"/>
    <mergeCell ref="E32:F32"/>
    <mergeCell ref="D53:J53"/>
    <mergeCell ref="E37:F37"/>
    <mergeCell ref="C64:C65"/>
    <mergeCell ref="E47:F47"/>
    <mergeCell ref="G72:H72"/>
  </mergeCells>
  <conditionalFormatting sqref="L3:L28">
    <cfRule type="cellIs" priority="3" operator="greaterThan" dxfId="0">
      <formula>30</formula>
    </cfRule>
  </conditionalFormatting>
  <conditionalFormatting sqref="K33:K3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36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N59"/>
  <sheetViews>
    <sheetView zoomScale="70" zoomScaleNormal="70" workbookViewId="0">
      <selection activeCell="K11" sqref="K11:K12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2.625" bestFit="1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2" min="11" max="11"/>
    <col width="8.75" customWidth="1" style="2" min="12" max="12"/>
    <col width="14.75" customWidth="1" style="2" min="13" max="14"/>
    <col width="8.75" customWidth="1" style="2" min="15" max="16384"/>
  </cols>
  <sheetData>
    <row r="1" ht="9.75" customHeight="1" s="462"/>
    <row r="2" ht="27.75" customHeight="1" s="462" thickBot="1">
      <c r="B2" s="488" t="n">
        <v>46184</v>
      </c>
      <c r="C2" s="463" t="n"/>
      <c r="D2" s="2" t="inlineStr">
        <is>
          <t>NO.1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2" t="inlineStr">
        <is>
          <t>メモ</t>
        </is>
      </c>
      <c r="N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465" t="n"/>
    </row>
    <row r="5" ht="27" customHeight="1" s="462">
      <c r="A5" s="423">
        <f>IF(B5="","",COUNTA($B$5:B5))</f>
        <v/>
      </c>
      <c r="B5" s="57" t="n"/>
      <c r="C5" s="63" t="n"/>
      <c r="D5" s="246" t="n"/>
      <c r="E5" s="441" t="n"/>
      <c r="F5" s="57" t="n"/>
      <c r="G5" s="65" t="n"/>
      <c r="H5" s="262" t="n"/>
      <c r="I5" s="298">
        <f>IFERROR(_xlfn.XLOOKUP(H5,案件・ドライバー一覧!$L$3:$L$17,案件・ドライバー一覧!$M$3:$M$17,""),"")</f>
        <v/>
      </c>
      <c r="J5" s="420" t="n"/>
      <c r="K5" s="72" t="n"/>
      <c r="L5" s="61" t="n"/>
      <c r="M5" s="449" t="n"/>
    </row>
    <row r="6" ht="27" customHeight="1" s="462">
      <c r="A6" s="423">
        <f>IF(B6="","",COUNTA($B$5:B6))</f>
        <v/>
      </c>
      <c r="B6" s="441" t="n"/>
      <c r="C6" s="440" t="n"/>
      <c r="D6" s="441" t="n"/>
      <c r="E6" s="64" t="n"/>
      <c r="F6" s="57" t="n"/>
      <c r="G6" s="65" t="n"/>
      <c r="H6" s="262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262" t="n"/>
      <c r="I7" s="299">
        <f>IFERROR(_xlfn.XLOOKUP(H7,案件・ドライバー一覧!$L$3:$L$17,案件・ドライバー一覧!$M$3:$M$17,""),"")</f>
        <v/>
      </c>
      <c r="J7" s="57" t="n"/>
      <c r="K7" s="72" t="n"/>
      <c r="L7" s="61" t="n"/>
      <c r="M7" s="449" t="n"/>
      <c r="N7" s="449" t="n"/>
    </row>
    <row r="8" ht="33.75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262" t="n"/>
      <c r="I8" s="331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</row>
    <row r="9" ht="27" customHeight="1" s="462">
      <c r="A9" s="423">
        <f>IF(B9="","",COUNTA($B$5:B9))</f>
        <v/>
      </c>
      <c r="B9" s="441" t="n"/>
      <c r="C9" s="440" t="n"/>
      <c r="D9" s="441" t="n"/>
      <c r="E9" s="440" t="n"/>
      <c r="F9" s="57" t="n"/>
      <c r="G9" s="65" t="n"/>
      <c r="H9" s="279" t="n"/>
      <c r="I9" s="331" t="n"/>
      <c r="J9" s="57" t="n"/>
      <c r="K9" s="72" t="n"/>
      <c r="L9" s="61" t="n"/>
      <c r="M9" s="449" t="n"/>
      <c r="N9" s="449" t="n"/>
    </row>
    <row r="10" ht="29.25" customHeight="1" s="462">
      <c r="A10" s="423">
        <f>IF(B10="","",COUNTA($B$5:B10))</f>
        <v/>
      </c>
      <c r="B10" s="441" t="n"/>
      <c r="C10" s="440" t="n"/>
      <c r="D10" s="441" t="n"/>
      <c r="E10" s="441" t="n"/>
      <c r="F10" s="57" t="n"/>
      <c r="G10" s="247" t="n"/>
      <c r="H10" s="262" t="n"/>
      <c r="I10" s="331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</row>
    <row r="11" ht="27" customHeight="1" s="462">
      <c r="A11" s="423">
        <f>IF(B11="","",COUNTA($B$5:B11))</f>
        <v/>
      </c>
      <c r="B11" s="441" t="n"/>
      <c r="C11" s="440" t="n"/>
      <c r="D11" s="441" t="n"/>
      <c r="E11" s="441" t="n"/>
      <c r="F11" s="57" t="n"/>
      <c r="G11" s="65" t="n"/>
      <c r="H11" s="262" t="n"/>
      <c r="I11" s="332" t="n"/>
      <c r="J11" s="420" t="n"/>
      <c r="K11" s="73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</row>
    <row r="12" ht="29.25" customHeight="1" s="462">
      <c r="A12" s="423">
        <f>IF(B12="","",COUNTA($B$5:B12))</f>
        <v/>
      </c>
      <c r="B12" s="57" t="n"/>
      <c r="C12" s="62" t="n"/>
      <c r="D12" s="63" t="n"/>
      <c r="E12" s="441" t="n"/>
      <c r="F12" s="57" t="n"/>
      <c r="G12" s="59" t="n"/>
      <c r="H12" s="262" t="n"/>
      <c r="I12" s="80" t="n"/>
      <c r="J12" s="57" t="n"/>
      <c r="K12" s="73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</row>
    <row r="13" ht="27" customHeight="1" s="462">
      <c r="A13" s="423">
        <f>IF(B13="","",COUNTA($B$5:B13))</f>
        <v/>
      </c>
      <c r="B13" s="441" t="n"/>
      <c r="C13" s="63" t="n"/>
      <c r="D13" s="440" t="n"/>
      <c r="E13" s="441" t="n"/>
      <c r="F13" s="57" t="n"/>
      <c r="G13" s="59" t="n"/>
      <c r="H13" s="60" t="n"/>
      <c r="I13" s="60" t="n"/>
      <c r="J13" s="57" t="n"/>
      <c r="K13" s="73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</row>
    <row r="14" ht="27.75" customHeight="1" s="462">
      <c r="A14" s="423">
        <f>IF(B14="","",COUNTA($B$5:B14))</f>
        <v/>
      </c>
      <c r="B14" s="420" t="n"/>
      <c r="C14" s="420" t="n"/>
      <c r="D14" s="420" t="n"/>
      <c r="E14" s="420" t="n"/>
      <c r="F14" s="420" t="n"/>
      <c r="G14" s="69" t="n"/>
      <c r="H14" s="70" t="n"/>
      <c r="I14" s="70" t="n"/>
      <c r="J14" s="420" t="n"/>
      <c r="K14" s="2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</row>
    <row r="15" ht="27" customHeight="1" s="462">
      <c r="B15" s="18" t="n"/>
      <c r="C15" s="18" t="n"/>
      <c r="D15" s="18" t="n"/>
      <c r="E15" s="18" t="n"/>
      <c r="F15" s="18" t="n"/>
      <c r="G15" s="19" t="n"/>
      <c r="H15" s="33" t="n"/>
      <c r="I15" s="18" t="n"/>
      <c r="J15" s="18" t="n"/>
      <c r="K15" s="18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16" ht="27" customHeight="1" s="462" thickBot="1">
      <c r="K16" s="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17" ht="27" customHeight="1" s="462">
      <c r="B17" s="22" t="n"/>
      <c r="C17" s="25" t="n"/>
      <c r="D17" s="25" t="inlineStr">
        <is>
          <t>現在待機場所</t>
        </is>
      </c>
      <c r="E17" s="25" t="inlineStr">
        <is>
          <t>待機予定場所</t>
        </is>
      </c>
      <c r="F17" s="466" t="n"/>
      <c r="H17" s="375" t="inlineStr">
        <is>
          <t>目標距離</t>
        </is>
      </c>
      <c r="I17" s="465" t="n"/>
      <c r="J17" s="467" t="n"/>
      <c r="K17" s="377" t="n"/>
    </row>
    <row r="18" ht="27" customHeight="1" s="462" thickBot="1">
      <c r="B18" s="26" t="inlineStr">
        <is>
          <t>2(255)</t>
        </is>
      </c>
      <c r="C18" s="21" t="inlineStr">
        <is>
          <t>山岸</t>
        </is>
      </c>
      <c r="D18" s="34" t="n"/>
      <c r="E18" s="34" t="n"/>
      <c r="F18" s="466" t="n"/>
      <c r="H18" s="468" t="n"/>
      <c r="I18" s="477" t="n"/>
      <c r="J18" s="469" t="n"/>
      <c r="K18" s="470" t="n"/>
    </row>
    <row r="19">
      <c r="B19" s="26" t="inlineStr">
        <is>
          <t>8(254)</t>
        </is>
      </c>
      <c r="C19" s="21" t="inlineStr">
        <is>
          <t>砂川</t>
        </is>
      </c>
      <c r="D19" s="35" t="n"/>
      <c r="E19" s="35" t="n"/>
      <c r="F19" s="466" t="n"/>
      <c r="H19" s="368" t="inlineStr">
        <is>
          <t>残距離</t>
        </is>
      </c>
      <c r="J19" s="471" t="n"/>
      <c r="K19" s="354" t="n"/>
    </row>
    <row r="20" ht="14.25" customHeight="1" s="462" thickBot="1">
      <c r="B20" s="26" t="inlineStr">
        <is>
          <t>9(256)</t>
        </is>
      </c>
      <c r="C20" s="21" t="inlineStr">
        <is>
          <t>前川</t>
        </is>
      </c>
      <c r="D20" s="35" t="n"/>
      <c r="E20" s="35" t="n"/>
      <c r="F20" s="466" t="n"/>
      <c r="H20" s="468" t="n"/>
      <c r="I20" s="477" t="n"/>
      <c r="J20" s="469" t="n"/>
      <c r="K20" s="472" t="n"/>
    </row>
    <row r="21" ht="14.25" customHeight="1" s="462" thickBot="1">
      <c r="B21" s="26" t="inlineStr">
        <is>
          <t>10(257)</t>
        </is>
      </c>
      <c r="C21" s="35" t="n"/>
      <c r="D21" s="35" t="n"/>
      <c r="E21" s="35" t="n"/>
      <c r="F21" s="466" t="n"/>
    </row>
    <row r="22">
      <c r="B22" s="26" t="inlineStr">
        <is>
          <t>11(258)</t>
        </is>
      </c>
      <c r="C22" s="21" t="inlineStr">
        <is>
          <t>郡司</t>
        </is>
      </c>
      <c r="D22" s="35" t="n"/>
      <c r="E22" s="35" t="n"/>
      <c r="F22" s="466" t="n"/>
      <c r="H22" s="350" t="inlineStr">
        <is>
          <t>依頼件数</t>
        </is>
      </c>
      <c r="I22" s="465" t="n"/>
      <c r="J22" s="467" t="n"/>
      <c r="K22" s="354" t="n"/>
    </row>
    <row r="23" ht="14.25" customHeight="1" s="462" thickBot="1">
      <c r="B23" s="26" t="inlineStr">
        <is>
          <t>12(736)</t>
        </is>
      </c>
      <c r="C23" s="21" t="n"/>
      <c r="D23" s="35" t="n"/>
      <c r="E23" s="35" t="n"/>
      <c r="F23" s="466" t="n"/>
      <c r="H23" s="468" t="n"/>
      <c r="I23" s="477" t="n"/>
      <c r="J23" s="469" t="n"/>
      <c r="K23" s="472" t="n"/>
    </row>
    <row r="24" ht="17.25" customHeight="1" s="462">
      <c r="B24" s="26" t="inlineStr">
        <is>
          <t>13(737)</t>
        </is>
      </c>
      <c r="C24" s="21" t="n"/>
      <c r="D24" s="35" t="n"/>
      <c r="E24" s="35" t="n"/>
      <c r="F24" s="466" t="n"/>
      <c r="H24" s="38" t="n"/>
      <c r="I24" s="38" t="n"/>
      <c r="J24" s="38" t="n"/>
      <c r="K24" s="39" t="n"/>
    </row>
    <row r="25" ht="17.25" customHeight="1" s="462">
      <c r="B25" s="40" t="inlineStr">
        <is>
          <t>14(738)</t>
        </is>
      </c>
      <c r="C25" s="21" t="inlineStr">
        <is>
          <t>辻井</t>
        </is>
      </c>
      <c r="D25" s="35" t="n"/>
      <c r="E25" s="35" t="n"/>
      <c r="F25" s="466" t="n"/>
      <c r="H25" s="38" t="n"/>
      <c r="I25" s="38" t="n"/>
      <c r="J25" s="38" t="n"/>
      <c r="K25" s="39" t="n"/>
    </row>
    <row r="26" ht="17.25" customHeight="1" s="462">
      <c r="B26" s="41" t="n"/>
      <c r="C26" s="42" t="n"/>
      <c r="D26" s="43" t="n"/>
      <c r="E26" s="44" t="n"/>
      <c r="F26" s="349" t="n"/>
      <c r="H26" s="38" t="n"/>
      <c r="I26" s="38" t="n"/>
      <c r="J26" s="38" t="n"/>
      <c r="K26" s="39" t="n"/>
    </row>
    <row r="27" ht="17.25" customHeight="1" s="462">
      <c r="B27" s="45" t="n">
        <v>7290</v>
      </c>
      <c r="C27" s="21" t="inlineStr">
        <is>
          <t>佐藤</t>
        </is>
      </c>
      <c r="D27" s="35" t="n"/>
      <c r="E27" s="348" t="n"/>
      <c r="F27" s="349" t="n"/>
      <c r="H27" s="38" t="n"/>
      <c r="I27" s="38" t="n"/>
      <c r="J27" s="38" t="n"/>
      <c r="K27" s="39" t="n"/>
    </row>
    <row r="28" ht="16.5" customHeight="1" s="462">
      <c r="B28" s="45" t="n">
        <v>7291</v>
      </c>
      <c r="C28" s="21" t="inlineStr">
        <is>
          <t>末次</t>
        </is>
      </c>
      <c r="D28" s="35" t="n"/>
      <c r="E28" s="348" t="n"/>
      <c r="F28" s="349" t="n"/>
      <c r="H28" s="38" t="n"/>
      <c r="I28" s="38" t="n"/>
      <c r="J28" s="38" t="n"/>
      <c r="K28" s="39" t="n"/>
    </row>
    <row r="29" ht="16.5" customHeight="1" s="462">
      <c r="B29" s="41" t="n"/>
      <c r="C29" s="42" t="n"/>
      <c r="D29" s="44" t="n"/>
      <c r="E29" s="44" t="n"/>
      <c r="F29" s="349" t="n"/>
      <c r="H29" s="38" t="n"/>
      <c r="I29" s="38" t="n"/>
      <c r="J29" s="38" t="n"/>
      <c r="K29" s="39" t="n"/>
    </row>
    <row r="30" ht="8.25" customHeight="1" s="462">
      <c r="B30" s="45" t="n">
        <v>333</v>
      </c>
      <c r="C30" s="21" t="inlineStr">
        <is>
          <t>金井/奥田</t>
        </is>
      </c>
      <c r="D30" s="35" t="n"/>
      <c r="E30" s="484" t="n"/>
      <c r="F30" s="469" t="n"/>
      <c r="H30" s="38" t="n"/>
      <c r="I30" s="38" t="n"/>
      <c r="J30" s="38" t="n"/>
      <c r="K30" s="39" t="n"/>
    </row>
    <row r="31" ht="17.25" customHeight="1" s="462">
      <c r="B31" s="46" t="n">
        <v>666</v>
      </c>
      <c r="C31" s="21" t="inlineStr">
        <is>
          <t>徳留</t>
        </is>
      </c>
      <c r="D31" s="35" t="n"/>
      <c r="E31" s="35" t="n"/>
      <c r="F31" s="466" t="n"/>
      <c r="H31" s="38" t="n"/>
      <c r="I31" s="38" t="n"/>
      <c r="J31" s="38" t="n"/>
      <c r="K31" s="39" t="n"/>
    </row>
    <row r="32" ht="17.25" customHeight="1" s="462">
      <c r="B32" s="46" t="n">
        <v>777</v>
      </c>
      <c r="C32" s="21" t="n"/>
      <c r="D32" s="35" t="n"/>
      <c r="E32" s="348" t="n"/>
      <c r="F32" s="349" t="n"/>
      <c r="H32" s="38" t="n"/>
      <c r="I32" s="38" t="n"/>
      <c r="J32" s="38" t="n"/>
      <c r="K32" s="39" t="n"/>
    </row>
    <row r="33" ht="9" customHeight="1" s="462">
      <c r="B33" s="47" t="n">
        <v>330</v>
      </c>
      <c r="C33" s="21" t="n"/>
      <c r="D33" s="35" t="n"/>
      <c r="E33" s="35" t="n"/>
      <c r="F33" s="466" t="n"/>
      <c r="H33" s="38" t="n"/>
      <c r="I33" s="38" t="n"/>
      <c r="J33" s="38" t="n"/>
      <c r="K33" s="39" t="n"/>
    </row>
    <row r="34" ht="16.5" customHeight="1" s="462">
      <c r="B34" s="47" t="n">
        <v>990</v>
      </c>
      <c r="C34" s="21" t="inlineStr">
        <is>
          <t>山原</t>
        </is>
      </c>
      <c r="D34" s="35" t="n"/>
      <c r="E34" s="35" t="n"/>
      <c r="F34" s="466" t="n"/>
      <c r="H34" s="38" t="n"/>
      <c r="I34" s="38" t="n"/>
      <c r="J34" s="38" t="n"/>
      <c r="K34" s="39" t="n"/>
    </row>
    <row r="35" ht="16.5" customHeight="1" s="462"/>
    <row r="36" ht="16.5" customHeight="1" s="462">
      <c r="C36" s="449" t="inlineStr">
        <is>
          <t>出発→到着</t>
        </is>
      </c>
      <c r="D36" s="420" t="inlineStr">
        <is>
          <t>備考</t>
        </is>
      </c>
    </row>
    <row r="37" ht="16.5" customHeight="1" s="462">
      <c r="B37" s="27" t="inlineStr">
        <is>
          <t>①</t>
        </is>
      </c>
      <c r="C37" s="449" t="inlineStr">
        <is>
          <t>東→西</t>
        </is>
      </c>
      <c r="D37" s="485" t="inlineStr">
        <is>
          <t>①Aチーム優先</t>
        </is>
      </c>
      <c r="E37" s="486" t="n"/>
      <c r="F37" s="486" t="n"/>
      <c r="G37" s="486" t="n"/>
      <c r="H37" s="486" t="n"/>
      <c r="I37" s="486" t="n"/>
      <c r="J37" s="466" t="n"/>
    </row>
    <row r="38" ht="16.5" customHeight="1" s="462">
      <c r="B38" s="27" t="inlineStr">
        <is>
          <t>②</t>
        </is>
      </c>
      <c r="C38" s="449" t="inlineStr">
        <is>
          <t>東→東</t>
        </is>
      </c>
      <c r="D38" s="485" t="inlineStr">
        <is>
          <t>②急ぎ案件の場合、道路状況も伝えてあげる。</t>
        </is>
      </c>
      <c r="E38" s="486" t="n"/>
      <c r="F38" s="486" t="n"/>
      <c r="G38" s="486" t="n"/>
      <c r="H38" s="486" t="n"/>
      <c r="I38" s="486" t="n"/>
      <c r="J38" s="466" t="n"/>
    </row>
    <row r="39">
      <c r="B39" s="27" t="inlineStr">
        <is>
          <t>③</t>
        </is>
      </c>
      <c r="C39" s="449" t="inlineStr">
        <is>
          <t>西→東</t>
        </is>
      </c>
      <c r="D39" s="485" t="inlineStr">
        <is>
          <t>③各ドライバーの位置からの帰社のタイミング・夕方の配置</t>
        </is>
      </c>
      <c r="E39" s="486" t="n"/>
      <c r="F39" s="486" t="n"/>
      <c r="G39" s="486" t="n"/>
      <c r="H39" s="486" t="n"/>
      <c r="I39" s="486" t="n"/>
      <c r="J39" s="466" t="n"/>
    </row>
    <row r="40">
      <c r="B40" s="27" t="inlineStr">
        <is>
          <t>④</t>
        </is>
      </c>
      <c r="C40" s="449" t="inlineStr">
        <is>
          <t>西→西</t>
        </is>
      </c>
      <c r="D40" s="485" t="inlineStr">
        <is>
          <t>④依頼を受ける際の、希望時間と現状の位置。行けるか行けないかの判断をしっかりと。</t>
        </is>
      </c>
      <c r="E40" s="486" t="n"/>
      <c r="F40" s="486" t="n"/>
      <c r="G40" s="486" t="n"/>
      <c r="H40" s="486" t="n"/>
      <c r="I40" s="486" t="n"/>
      <c r="J40" s="466" t="n"/>
    </row>
    <row r="41">
      <c r="D41" s="485" t="inlineStr">
        <is>
          <t>⑤軽に乗るか乗らないかの判断に気を付ける。</t>
        </is>
      </c>
      <c r="E41" s="486" t="n"/>
      <c r="F41" s="486" t="n"/>
      <c r="G41" s="486" t="n"/>
      <c r="H41" s="486" t="n"/>
      <c r="I41" s="486" t="n"/>
      <c r="J41" s="466" t="n"/>
    </row>
    <row r="42">
      <c r="B42" s="22" t="n"/>
      <c r="C42" s="420" t="inlineStr">
        <is>
          <t>現状配置(予測)</t>
        </is>
      </c>
      <c r="D42" s="485" t="inlineStr">
        <is>
          <t>⑥18/1日、1.8/1人、3件/1人</t>
        </is>
      </c>
      <c r="E42" s="486" t="n"/>
      <c r="F42" s="486" t="n"/>
      <c r="G42" s="486" t="n"/>
      <c r="H42" s="486" t="n"/>
      <c r="I42" s="486" t="n"/>
      <c r="J42" s="466" t="n"/>
    </row>
    <row r="43">
      <c r="B43" s="420" t="inlineStr">
        <is>
          <t>西(神戸西・弥栄台)</t>
        </is>
      </c>
      <c r="C43" s="420" t="n"/>
      <c r="D43" s="485" t="inlineStr">
        <is>
          <t>⑦依頼書の見落とし(日付、入替、入出庫、場所）</t>
        </is>
      </c>
      <c r="E43" s="486" t="n"/>
      <c r="F43" s="486" t="n"/>
      <c r="G43" s="486" t="n"/>
      <c r="H43" s="486" t="n"/>
      <c r="I43" s="486" t="n"/>
      <c r="J43" s="466" t="n"/>
    </row>
    <row r="44">
      <c r="B44" s="420" t="inlineStr">
        <is>
          <t>真ん中(摩耶・中央)</t>
        </is>
      </c>
      <c r="C44" s="420" t="n"/>
      <c r="D44" s="485" t="inlineStr">
        <is>
          <t>⑧3ｔ車と2ｔ車への振り方(西と東に振り分ける)</t>
        </is>
      </c>
      <c r="E44" s="486" t="n"/>
      <c r="F44" s="486" t="n"/>
      <c r="G44" s="486" t="n"/>
      <c r="H44" s="486" t="n"/>
      <c r="I44" s="486" t="n"/>
      <c r="J44" s="466" t="n"/>
    </row>
    <row r="45">
      <c r="B45" s="420" t="inlineStr">
        <is>
          <t>東(尼崎・伊丹・西宮)</t>
        </is>
      </c>
      <c r="C45" s="420" t="n"/>
      <c r="D45" s="485" t="inlineStr">
        <is>
          <t>⑨</t>
        </is>
      </c>
      <c r="E45" s="486" t="n"/>
      <c r="F45" s="486" t="n"/>
      <c r="G45" s="486" t="n"/>
      <c r="H45" s="486" t="n"/>
      <c r="I45" s="486" t="n"/>
      <c r="J45" s="466" t="n"/>
    </row>
    <row r="46">
      <c r="B46" s="48" t="inlineStr">
        <is>
          <t>極東(港区・淀屋橋)</t>
        </is>
      </c>
      <c r="C46" s="420" t="n"/>
      <c r="D46" s="49" t="n"/>
      <c r="E46" s="49" t="n"/>
      <c r="F46" s="49" t="n"/>
      <c r="G46" s="49" t="n"/>
      <c r="H46" s="49" t="n"/>
      <c r="I46" s="49" t="n"/>
      <c r="J46" s="49" t="n"/>
    </row>
    <row r="47" ht="14.25" customHeight="1" s="462" thickBot="1"/>
    <row r="48">
      <c r="C48" s="473" t="inlineStr">
        <is>
          <t>合計額/380</t>
        </is>
      </c>
      <c r="D48" s="358">
        <f>SUM(G48)</f>
        <v/>
      </c>
      <c r="F48" s="360" t="inlineStr">
        <is>
          <t>売り上げ額</t>
        </is>
      </c>
      <c r="G48" s="362">
        <f>SUM(K5:K16)+SUM('6　11  (2)'!K5:K45)</f>
        <v/>
      </c>
      <c r="H48" s="465" t="n"/>
      <c r="I48" s="465" t="n"/>
      <c r="J48" s="467" t="n"/>
    </row>
    <row r="49" ht="14.25" customHeight="1" s="462" thickBot="1">
      <c r="C49" s="474" t="n"/>
      <c r="D49" s="475" t="n"/>
      <c r="F49" s="468" t="n"/>
      <c r="G49" s="476" t="n"/>
      <c r="H49" s="477" t="n"/>
      <c r="I49" s="477" t="n"/>
      <c r="J49" s="469" t="n"/>
    </row>
    <row r="50">
      <c r="C50" s="478" t="inlineStr">
        <is>
          <t>前日までの売上合計額</t>
        </is>
      </c>
      <c r="D50" s="479">
        <f>SUM('6　9'!D64:D65)</f>
        <v/>
      </c>
    </row>
    <row r="51" ht="14.25" customHeight="1" s="462" thickBot="1">
      <c r="C51" s="480" t="n"/>
      <c r="D51" s="480" t="n"/>
      <c r="F51" s="420" t="inlineStr">
        <is>
          <t>金井（55)</t>
        </is>
      </c>
      <c r="G51" s="345" t="n"/>
      <c r="H51" s="466" t="n"/>
      <c r="I51" s="130" t="n"/>
    </row>
    <row r="52" ht="14.25" customHeight="1" s="462" thickTop="1">
      <c r="D52" s="346">
        <f>D48+D50</f>
        <v/>
      </c>
      <c r="F52" s="420" t="inlineStr">
        <is>
          <t>粟津(55)</t>
        </is>
      </c>
      <c r="G52" s="340" t="n"/>
      <c r="H52" s="466" t="n"/>
      <c r="I52" s="131" t="n"/>
    </row>
    <row r="53">
      <c r="F53" s="420" t="inlineStr">
        <is>
          <t>砂川(50)</t>
        </is>
      </c>
      <c r="G53" s="340" t="n"/>
      <c r="H53" s="466" t="n"/>
      <c r="I53" s="131" t="n"/>
    </row>
    <row r="54">
      <c r="C54" s="2" t="inlineStr">
        <is>
          <t>高代</t>
        </is>
      </c>
      <c r="F54" s="420" t="inlineStr">
        <is>
          <t>前川(50)</t>
        </is>
      </c>
      <c r="G54" s="340" t="n"/>
      <c r="H54" s="466" t="n"/>
      <c r="I54" s="131" t="n"/>
    </row>
    <row r="55">
      <c r="C55" s="2" t="inlineStr">
        <is>
          <t>返還代</t>
        </is>
      </c>
      <c r="F55" s="420" t="inlineStr">
        <is>
          <t>佐藤(50)</t>
        </is>
      </c>
      <c r="G55" s="345" t="n"/>
      <c r="H55" s="466" t="n"/>
      <c r="I55" s="130" t="n"/>
    </row>
    <row r="56">
      <c r="C56" s="2" t="inlineStr">
        <is>
          <t>回収率</t>
        </is>
      </c>
      <c r="D56" s="50">
        <f>D55/D54</f>
        <v/>
      </c>
      <c r="F56" s="420" t="inlineStr">
        <is>
          <t>末次(55)</t>
        </is>
      </c>
      <c r="G56" s="340" t="n"/>
      <c r="H56" s="466" t="n"/>
      <c r="I56" s="131" t="n"/>
    </row>
    <row r="57">
      <c r="C57" s="2" t="inlineStr">
        <is>
          <t>費</t>
        </is>
      </c>
      <c r="D57" s="2">
        <f>D54-D55</f>
        <v/>
      </c>
      <c r="F57" s="420" t="inlineStr">
        <is>
          <t>筒井(75)</t>
        </is>
      </c>
      <c r="G57" s="340" t="n"/>
      <c r="H57" s="466" t="n"/>
      <c r="I57" s="131" t="n"/>
    </row>
    <row r="58">
      <c r="F58" s="420" t="inlineStr">
        <is>
          <t>山岸(40)</t>
        </is>
      </c>
      <c r="G58" s="340" t="n"/>
      <c r="H58" s="466" t="n"/>
      <c r="I58" s="131" t="n"/>
    </row>
    <row r="59" ht="17.25" customHeight="1" s="462">
      <c r="B59" s="71" t="n"/>
      <c r="F59" s="420" t="inlineStr">
        <is>
          <t>多苗(30)</t>
        </is>
      </c>
      <c r="G59" s="340" t="n"/>
      <c r="H59" s="466" t="n"/>
      <c r="I59" s="131" t="n"/>
      <c r="L59" s="2" t="inlineStr">
        <is>
          <t> </t>
        </is>
      </c>
    </row>
    <row r="63" ht="23.25" customHeight="1" s="462"/>
  </sheetData>
  <autoFilter ref="H1:H19"/>
  <mergeCells count="51">
    <mergeCell ref="G59:H59"/>
    <mergeCell ref="G52:H52"/>
    <mergeCell ref="G48:J49"/>
    <mergeCell ref="E24:F24"/>
    <mergeCell ref="E33:F33"/>
    <mergeCell ref="D39:J39"/>
    <mergeCell ref="D52:D53"/>
    <mergeCell ref="E23:F23"/>
    <mergeCell ref="M5:N5"/>
    <mergeCell ref="D42:J42"/>
    <mergeCell ref="E17:F17"/>
    <mergeCell ref="C50:C51"/>
    <mergeCell ref="D38:J38"/>
    <mergeCell ref="D43:J43"/>
    <mergeCell ref="K22:K23"/>
    <mergeCell ref="E20:F20"/>
    <mergeCell ref="B2:C2"/>
    <mergeCell ref="M11:N11"/>
    <mergeCell ref="D48:D49"/>
    <mergeCell ref="D44:J44"/>
    <mergeCell ref="E19:F19"/>
    <mergeCell ref="G57:H57"/>
    <mergeCell ref="G53:H53"/>
    <mergeCell ref="E31:F31"/>
    <mergeCell ref="E34:F34"/>
    <mergeCell ref="E30:F30"/>
    <mergeCell ref="D40:J40"/>
    <mergeCell ref="K17:K18"/>
    <mergeCell ref="M12:N12"/>
    <mergeCell ref="D37:J37"/>
    <mergeCell ref="D45:J45"/>
    <mergeCell ref="G58:H58"/>
    <mergeCell ref="M3:N3"/>
    <mergeCell ref="H22:J23"/>
    <mergeCell ref="H17:J18"/>
    <mergeCell ref="K19:K20"/>
    <mergeCell ref="C48:C49"/>
    <mergeCell ref="G55:H55"/>
    <mergeCell ref="F48:F49"/>
    <mergeCell ref="G51:H51"/>
    <mergeCell ref="D41:J41"/>
    <mergeCell ref="G54:H54"/>
    <mergeCell ref="E25:F25"/>
    <mergeCell ref="E18:F18"/>
    <mergeCell ref="M14:N14"/>
    <mergeCell ref="H19:J20"/>
    <mergeCell ref="E22:F22"/>
    <mergeCell ref="D50:D51"/>
    <mergeCell ref="M4:N4"/>
    <mergeCell ref="G56:H56"/>
    <mergeCell ref="E21:F21"/>
  </mergeCells>
  <conditionalFormatting sqref="L3:L14">
    <cfRule type="cellIs" priority="3" operator="greaterThan" dxfId="0">
      <formula>30</formula>
    </cfRule>
  </conditionalFormatting>
  <conditionalFormatting sqref="K19:K20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2">
    <cfRule type="containsText" priority="6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80" horizontalDpi="1200" verticalDpi="12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91"/>
  <sheetViews>
    <sheetView zoomScale="85" zoomScaleNormal="85" workbookViewId="0">
      <pane xSplit="1" ySplit="3" topLeftCell="B31" activePane="bottomRight" state="frozen"/>
      <selection pane="topRight" activeCell="B1" sqref="B1"/>
      <selection pane="bottomLeft" activeCell="A4" sqref="A4"/>
      <selection pane="bottomRight" activeCell="N26" sqref="N26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21.125" bestFit="1" customWidth="1" style="2" min="4" max="4"/>
    <col width="22.25" customWidth="1" style="2" min="5" max="5"/>
    <col width="29.75" bestFit="1" customWidth="1" style="2" min="6" max="6"/>
    <col width="11.25" bestFit="1" customWidth="1" style="2" min="7" max="7"/>
    <col width="6.75" customWidth="1" style="2" min="8" max="9"/>
    <col width="6.625" customWidth="1" style="2" min="10" max="10"/>
    <col width="20.25" customWidth="1" style="2" min="11" max="11"/>
    <col width="8.75" customWidth="1" style="2" min="12" max="12"/>
    <col width="23.875" customWidth="1" style="2" min="13" max="13"/>
    <col width="13" customWidth="1" style="2" min="14" max="14"/>
    <col width="8.75" customWidth="1" style="2" min="15" max="16384"/>
  </cols>
  <sheetData>
    <row r="1" ht="9.75" customHeight="1" s="462"/>
    <row r="2" ht="27.75" customHeight="1" s="462" thickBot="1">
      <c r="B2" s="488" t="n">
        <v>46184</v>
      </c>
      <c r="C2" s="463" t="n"/>
      <c r="D2" s="2" t="inlineStr">
        <is>
          <t>NO.1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333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2" t="inlineStr">
        <is>
          <t>メモ</t>
        </is>
      </c>
      <c r="N3" s="464" t="n"/>
    </row>
    <row r="4" ht="27" customHeight="1" s="462">
      <c r="A4" s="423" t="n"/>
      <c r="B4" s="76" t="inlineStr">
        <is>
          <t xml:space="preserve">森本：講習
</t>
        </is>
      </c>
      <c r="C4" s="51" t="n"/>
      <c r="D4" s="51" t="n"/>
      <c r="E4" s="52" t="n"/>
      <c r="F4" s="52" t="n"/>
      <c r="G4" s="53" t="n"/>
      <c r="H4" s="51" t="n"/>
      <c r="I4" s="51" t="n"/>
      <c r="J4" s="420" t="n"/>
      <c r="K4" s="51" t="n"/>
      <c r="L4" s="55" t="n"/>
      <c r="M4" s="388" t="n"/>
      <c r="N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275" t="n"/>
      <c r="G5" s="305" t="n"/>
      <c r="H5" s="260" t="n"/>
      <c r="I5" s="314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</row>
    <row r="6" ht="27" customHeight="1" s="462">
      <c r="A6" s="423">
        <f>IF(B6="","",COUNTA($B$5:B6))</f>
        <v/>
      </c>
      <c r="B6" s="57" t="n"/>
      <c r="C6" s="441" t="n"/>
      <c r="D6" s="63" t="n"/>
      <c r="E6" s="441" t="n"/>
      <c r="F6" s="57" t="n"/>
      <c r="G6" s="302" t="n"/>
      <c r="H6" s="260" t="n"/>
      <c r="I6" s="314">
        <f>IFERROR(_xlfn.XLOOKUP(H6,案件・ドライバー一覧!$L$3:$L$17,案件・ドライバー一覧!$M$3:$M$17,""),"")</f>
        <v/>
      </c>
      <c r="J6" s="420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</row>
    <row r="7" ht="27" customHeight="1" s="462">
      <c r="A7" s="423">
        <f>IF(B7="","",COUNTA($B$5:B7))</f>
        <v/>
      </c>
      <c r="B7" s="57" t="n"/>
      <c r="C7" s="441" t="n"/>
      <c r="D7" s="63" t="n"/>
      <c r="E7" s="441" t="n"/>
      <c r="F7" s="274" t="n"/>
      <c r="G7" s="208" t="n"/>
      <c r="H7" s="260" t="n"/>
      <c r="I7" s="314">
        <f>IFERROR(_xlfn.XLOOKUP(H7,案件・ドライバー一覧!$L$3:$L$17,案件・ドライバー一覧!$M$3:$M$17,""),"")</f>
        <v/>
      </c>
      <c r="J7" s="420" t="n"/>
      <c r="K7" s="72" t="n"/>
      <c r="L7" s="61" t="n"/>
      <c r="M7" s="449" t="n"/>
      <c r="N7" s="449" t="n"/>
    </row>
    <row r="8" ht="51" customHeight="1" s="462">
      <c r="A8" s="423">
        <f>IF(B8="","",COUNTA($B$5:B8))</f>
        <v/>
      </c>
      <c r="B8" s="57" t="n"/>
      <c r="C8" s="441" t="n"/>
      <c r="D8" s="63" t="n"/>
      <c r="E8" s="441" t="n"/>
      <c r="F8" s="274" t="n"/>
      <c r="G8" s="304" t="n"/>
      <c r="H8" s="260" t="n"/>
      <c r="I8" s="314">
        <f>IFERROR(_xlfn.XLOOKUP(H8,案件・ドライバー一覧!$L$3:$L$17,案件・ドライバー一覧!$M$3:$M$17,""),"")</f>
        <v/>
      </c>
      <c r="J8" s="420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311" t="n"/>
      <c r="N8" s="449" t="n"/>
    </row>
    <row r="9" ht="27" customHeight="1" s="462">
      <c r="A9" s="423">
        <f>IF(B9="","",COUNTA($B$5:B9))</f>
        <v/>
      </c>
      <c r="B9" s="441" t="n"/>
      <c r="C9" s="63" t="n"/>
      <c r="D9" s="64" t="n"/>
      <c r="E9" s="64" t="n"/>
      <c r="F9" s="57" t="n"/>
      <c r="G9" s="302" t="n"/>
      <c r="H9" s="260" t="n"/>
      <c r="I9" s="314">
        <f>IFERROR(_xlfn.XLOOKUP(H9,案件・ドライバー一覧!$L$3:$L$17,案件・ドライバー一覧!$M$3:$M$17,""),"")</f>
        <v/>
      </c>
      <c r="J9" s="420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</row>
    <row r="10" ht="33.75" customHeight="1" s="462">
      <c r="A10" s="423">
        <f>IF(B10="","",COUNTA($B$5:B10))</f>
        <v/>
      </c>
      <c r="B10" s="441" t="n"/>
      <c r="C10" s="440" t="n"/>
      <c r="D10" s="246" t="n"/>
      <c r="E10" s="440" t="n"/>
      <c r="F10" s="274" t="n"/>
      <c r="G10" s="302" t="n"/>
      <c r="H10" s="260" t="n"/>
      <c r="I10" s="314">
        <f>IFERROR(_xlfn.XLOOKUP(H10,案件・ドライバー一覧!$L$3:$L$17,案件・ドライバー一覧!$M$3:$M$17,""),"")</f>
        <v/>
      </c>
      <c r="J10" s="420" t="n"/>
      <c r="K10" s="73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</row>
    <row r="11" ht="32.25" customHeight="1" s="462">
      <c r="A11" s="423">
        <f>IF(B11="","",COUNTA($B$5:B11))</f>
        <v/>
      </c>
      <c r="B11" s="57" t="n"/>
      <c r="C11" s="63" t="n"/>
      <c r="D11" s="441" t="n"/>
      <c r="E11" s="441" t="n"/>
      <c r="F11" s="275" t="n"/>
      <c r="G11" s="302" t="n"/>
      <c r="H11" s="260" t="n"/>
      <c r="I11" s="314">
        <f>IFERROR(_xlfn.XLOOKUP(H11,案件・ドライバー一覧!$L$3:$L$17,案件・ドライバー一覧!$M$3:$M$17,""),"")</f>
        <v/>
      </c>
      <c r="J11" s="420" t="n"/>
      <c r="K11" s="73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</row>
    <row r="12" ht="27" customHeight="1" s="462">
      <c r="A12" s="423">
        <f>IF(B12="","",COUNTA($B$5:B12))</f>
        <v/>
      </c>
      <c r="B12" s="57" t="n"/>
      <c r="C12" s="441" t="n"/>
      <c r="D12" s="441" t="n"/>
      <c r="E12" s="441" t="n"/>
      <c r="F12" s="57" t="n"/>
      <c r="G12" s="134" t="n"/>
      <c r="H12" s="260" t="n"/>
      <c r="I12" s="427" t="n"/>
      <c r="J12" s="420" t="n"/>
      <c r="K12" s="72" t="n"/>
      <c r="L12" s="61" t="n"/>
      <c r="M12" s="449" t="n"/>
      <c r="N12" s="449" t="n"/>
    </row>
    <row r="13" ht="27" customHeight="1" s="462">
      <c r="A13" s="423">
        <f>IF(B13="","",COUNTA($B$5:B13))</f>
        <v/>
      </c>
      <c r="B13" s="441" t="n"/>
      <c r="C13" s="63" t="n"/>
      <c r="D13" s="441" t="n"/>
      <c r="E13" s="441" t="n"/>
      <c r="F13" s="274" t="n"/>
      <c r="G13" s="302" t="n"/>
      <c r="H13" s="260" t="n"/>
      <c r="I13" s="315">
        <f>IFERROR(_xlfn.XLOOKUP(H13,案件・ドライバー一覧!$L$3:$L$17,案件・ドライバー一覧!$M$3:$M$17,""),"")</f>
        <v/>
      </c>
      <c r="J13" s="420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</row>
    <row r="14" ht="27" customHeight="1" s="462">
      <c r="A14" s="423">
        <f>IF(B14="","",COUNTA($B$5:B14))</f>
        <v/>
      </c>
      <c r="B14" s="441" t="n"/>
      <c r="C14" s="63" t="n"/>
      <c r="D14" s="441" t="n"/>
      <c r="E14" s="441" t="n"/>
      <c r="F14" s="57" t="n"/>
      <c r="G14" s="302" t="n"/>
      <c r="H14" s="260" t="n"/>
      <c r="I14" s="314">
        <f>IFERROR(_xlfn.XLOOKUP(H14,案件・ドライバー一覧!$L$3:$L$17,案件・ドライバー一覧!$M$3:$M$17,""),"")</f>
        <v/>
      </c>
      <c r="J14" s="420" t="n"/>
      <c r="K14" s="72" t="n"/>
      <c r="L14" s="61" t="n"/>
      <c r="M14" s="449" t="n"/>
      <c r="N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275" t="n"/>
      <c r="G15" s="302" t="n"/>
      <c r="H15" s="260" t="n"/>
      <c r="I15" s="314">
        <f>IFERROR(_xlfn.XLOOKUP(H15,案件・ドライバー一覧!$L$3:$L$17,案件・ドライバー一覧!$M$3:$M$17,""),"")</f>
        <v/>
      </c>
      <c r="J15" s="420" t="n"/>
      <c r="K15" s="72" t="n"/>
      <c r="L15" s="61" t="n"/>
      <c r="M15" s="449" t="n"/>
      <c r="N15" s="449" t="n"/>
    </row>
    <row r="16" ht="33.75" customHeight="1" s="462">
      <c r="A16" s="423">
        <f>IF(B16="","",COUNTA($B$5:B16))</f>
        <v/>
      </c>
      <c r="B16" s="441" t="n"/>
      <c r="C16" s="440" t="n"/>
      <c r="D16" s="441" t="n"/>
      <c r="E16" s="261" t="n"/>
      <c r="F16" s="57" t="n"/>
      <c r="G16" s="302" t="n"/>
      <c r="H16" s="260" t="n"/>
      <c r="I16" s="314">
        <f>IFERROR(_xlfn.XLOOKUP(H16,案件・ドライバー一覧!$L$3:$L$17,案件・ドライバー一覧!$M$3:$M$17,""),"")</f>
        <v/>
      </c>
      <c r="J16" s="420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64" t="n"/>
      <c r="F17" s="275" t="n"/>
      <c r="G17" s="325" t="n"/>
      <c r="H17" s="260" t="n"/>
      <c r="I17" s="119" t="n"/>
      <c r="J17" s="420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274" t="n"/>
      <c r="G18" s="302" t="n"/>
      <c r="H18" s="260" t="n"/>
      <c r="I18" s="119" t="n"/>
      <c r="J18" s="420" t="n"/>
      <c r="K18" s="72" t="n"/>
      <c r="L18" s="61" t="n"/>
      <c r="M18" s="449" t="n"/>
      <c r="N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276" t="n"/>
      <c r="G19" s="302" t="n"/>
      <c r="H19" s="260" t="n"/>
      <c r="I19" s="119" t="n"/>
      <c r="J19" s="420" t="n"/>
      <c r="K19" s="72" t="n"/>
      <c r="L19" s="61" t="n"/>
      <c r="M19" s="449" t="n"/>
      <c r="N19" s="449" t="n"/>
    </row>
    <row r="20" ht="27" customHeight="1" s="462">
      <c r="A20" s="423">
        <f>IF(B20="","",COUNTA($B$5:B20))</f>
        <v/>
      </c>
      <c r="B20" s="57" t="n"/>
      <c r="C20" s="63" t="n"/>
      <c r="D20" s="441" t="n"/>
      <c r="E20" s="441" t="n"/>
      <c r="F20" s="275" t="n"/>
      <c r="G20" s="302" t="n"/>
      <c r="H20" s="260" t="n"/>
      <c r="I20" s="119" t="n"/>
      <c r="J20" s="420" t="n"/>
      <c r="K20" s="72" t="n"/>
      <c r="L20" s="61" t="n"/>
      <c r="M20" s="449" t="n"/>
      <c r="N20" s="449" t="n"/>
    </row>
    <row r="21" ht="27" customHeight="1" s="462">
      <c r="A21" s="423">
        <f>IF(B21="","",COUNTA($B$5:B21))</f>
        <v/>
      </c>
      <c r="B21" s="57" t="n"/>
      <c r="C21" s="63" t="n"/>
      <c r="D21" s="441" t="n"/>
      <c r="E21" s="441" t="n"/>
      <c r="F21" s="57" t="n"/>
      <c r="G21" s="302" t="n"/>
      <c r="H21" s="260" t="n"/>
      <c r="I21" s="427" t="n"/>
      <c r="J21" s="420" t="n"/>
      <c r="K21" s="72" t="n"/>
      <c r="L21" s="61" t="n"/>
      <c r="M21" s="449" t="n"/>
      <c r="N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274" t="n"/>
      <c r="G22" s="302" t="n"/>
      <c r="H22" s="260" t="n"/>
      <c r="I22" s="427" t="n"/>
      <c r="J22" s="420" t="n"/>
      <c r="K22" s="72" t="n"/>
      <c r="L22" s="61" t="n"/>
      <c r="M22" s="449" t="n"/>
      <c r="N22" s="449" t="n"/>
    </row>
    <row r="23" ht="27" customHeight="1" s="462">
      <c r="A23" s="423">
        <f>IF(B23="","",COUNTA($B$5:B23))</f>
        <v/>
      </c>
      <c r="B23" s="57" t="n"/>
      <c r="C23" s="64" t="n"/>
      <c r="D23" s="441" t="n"/>
      <c r="E23" s="63" t="n"/>
      <c r="F23" s="276" t="n"/>
      <c r="G23" s="302" t="n"/>
      <c r="H23" s="260" t="n"/>
      <c r="I23" s="427" t="n"/>
      <c r="J23" s="420" t="n"/>
      <c r="K23" s="72" t="n"/>
      <c r="L23" s="61" t="n"/>
      <c r="M23" s="449" t="n"/>
      <c r="N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274" t="n"/>
      <c r="G24" s="302" t="n"/>
      <c r="H24" s="260" t="n"/>
      <c r="I24" s="119" t="n"/>
      <c r="J24" s="420" t="n"/>
      <c r="K24" s="72" t="n"/>
      <c r="L24" s="61" t="n"/>
      <c r="M24" s="449" t="n"/>
      <c r="N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274" t="n"/>
      <c r="G25" s="302" t="n"/>
      <c r="H25" s="260" t="n"/>
      <c r="I25" s="119" t="n"/>
      <c r="J25" s="420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</row>
    <row r="26" ht="27" customHeight="1" s="462">
      <c r="A26" s="423">
        <f>IF(B26="","",COUNTA($B$5:B26))</f>
        <v/>
      </c>
      <c r="B26" s="57" t="n"/>
      <c r="C26" s="63" t="n"/>
      <c r="D26" s="441" t="n"/>
      <c r="E26" s="259" t="n"/>
      <c r="F26" s="57" t="n"/>
      <c r="G26" s="302" t="n"/>
      <c r="H26" s="260" t="n"/>
      <c r="I26" s="119" t="n"/>
      <c r="J26" s="420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</row>
    <row r="27" ht="27" customHeight="1" s="462">
      <c r="A27" s="423">
        <f>IF(B27="","",COUNTA($B$5:B27))</f>
        <v/>
      </c>
      <c r="B27" s="57" t="n"/>
      <c r="C27" s="441" t="n"/>
      <c r="D27" s="64" t="n"/>
      <c r="E27" s="441" t="n"/>
      <c r="F27" s="57" t="n"/>
      <c r="G27" s="302" t="n"/>
      <c r="H27" s="260" t="n"/>
      <c r="I27" s="119" t="n"/>
      <c r="J27" s="420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</row>
    <row r="28" ht="30.75" customHeight="1" s="462">
      <c r="A28" s="423">
        <f>IF(B28="","",COUNTA($B$5:B28))</f>
        <v/>
      </c>
      <c r="B28" s="57" t="n"/>
      <c r="C28" s="63" t="n"/>
      <c r="D28" s="441" t="n"/>
      <c r="E28" s="441" t="n"/>
      <c r="F28" s="57" t="n"/>
      <c r="G28" s="207" t="n"/>
      <c r="H28" s="260" t="n"/>
      <c r="I28" s="119" t="n"/>
      <c r="J28" s="420" t="n"/>
      <c r="K28" s="72" t="n"/>
      <c r="L28" s="61" t="n"/>
      <c r="M28" s="449" t="n"/>
      <c r="N28" s="449" t="n"/>
    </row>
    <row r="29" ht="36" customHeight="1" s="462">
      <c r="A29" s="423">
        <f>IF(B29="","",COUNTA($B$5:B29))</f>
        <v/>
      </c>
      <c r="B29" s="57" t="n"/>
      <c r="C29" s="62" t="n"/>
      <c r="D29" s="441" t="n"/>
      <c r="E29" s="129" t="n"/>
      <c r="F29" s="57" t="n"/>
      <c r="G29" s="207" t="n"/>
      <c r="H29" s="260" t="n"/>
      <c r="I29" s="119" t="n"/>
      <c r="J29" s="420" t="n"/>
      <c r="K29" s="72" t="n"/>
      <c r="L29" s="61" t="n"/>
      <c r="M29" s="449" t="n"/>
      <c r="N29" s="449" t="n"/>
    </row>
    <row r="30" ht="27" customHeight="1" s="462">
      <c r="A30" s="423">
        <f>IF(B30="","",COUNTA($B$5:B30))</f>
        <v/>
      </c>
      <c r="B30" s="441" t="n"/>
      <c r="C30" s="440" t="n"/>
      <c r="D30" s="441" t="n"/>
      <c r="E30" s="440" t="n"/>
      <c r="F30" s="57" t="n"/>
      <c r="G30" s="302" t="n"/>
      <c r="H30" s="260" t="n"/>
      <c r="I30" s="120" t="n"/>
      <c r="J30" s="420" t="n"/>
      <c r="K30" s="73" t="n"/>
      <c r="L30" s="61" t="n"/>
      <c r="M30" s="449" t="n"/>
    </row>
    <row r="31" ht="33" customHeight="1" s="462">
      <c r="A31" s="423">
        <f>IF(B31="","",COUNTA($B$5:B31))</f>
        <v/>
      </c>
      <c r="B31" s="441" t="n"/>
      <c r="C31" s="63" t="n"/>
      <c r="D31" s="440" t="n"/>
      <c r="E31" s="441" t="n"/>
      <c r="F31" s="57" t="n"/>
      <c r="G31" s="302" t="n"/>
      <c r="H31" s="260" t="n"/>
      <c r="I31" s="119" t="n"/>
      <c r="J31" s="420" t="n"/>
      <c r="K31" s="73" t="n"/>
      <c r="L31" s="61" t="n"/>
      <c r="M31" s="449" t="n"/>
      <c r="N31" s="449" t="n"/>
    </row>
    <row r="32" ht="54" customHeight="1" s="462">
      <c r="A32" s="423">
        <f>IF(B32="","",COUNTA($B$5:B32))</f>
        <v/>
      </c>
      <c r="B32" s="441" t="n"/>
      <c r="C32" s="63" t="n"/>
      <c r="D32" s="441" t="n"/>
      <c r="E32" s="64" t="n"/>
      <c r="F32" s="57" t="n"/>
      <c r="G32" s="305" t="n"/>
      <c r="H32" s="260" t="n"/>
      <c r="I32" s="119" t="n"/>
      <c r="J32" s="420" t="n"/>
      <c r="K32" s="72" t="n"/>
      <c r="L32" s="61" t="n"/>
      <c r="M32" s="449" t="n"/>
      <c r="N32" s="449" t="n"/>
    </row>
    <row r="33" ht="36" customHeight="1" s="462">
      <c r="A33" s="423">
        <f>IF(B33="","",COUNTA($B$5:B33))</f>
        <v/>
      </c>
      <c r="B33" s="441" t="n"/>
      <c r="C33" s="62" t="n"/>
      <c r="D33" s="64" t="n"/>
      <c r="E33" s="441" t="n"/>
      <c r="F33" s="441" t="n"/>
      <c r="G33" s="305" t="n"/>
      <c r="H33" s="260" t="n"/>
      <c r="I33" s="119" t="n"/>
      <c r="J33" s="420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</row>
    <row r="34" ht="27.75" customHeight="1" s="462">
      <c r="A34" s="423">
        <f>IF(B34="","",COUNTA($B$5:B34))</f>
        <v/>
      </c>
      <c r="B34" s="57" t="n"/>
      <c r="C34" s="441" t="n"/>
      <c r="D34" s="63" t="n"/>
      <c r="E34" s="441" t="n"/>
      <c r="F34" s="275" t="n"/>
      <c r="G34" s="207" t="n"/>
      <c r="H34" s="260" t="n"/>
      <c r="I34" s="119" t="n"/>
      <c r="J34" s="420" t="n"/>
      <c r="K34" s="72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M34" s="449" t="n"/>
      <c r="N34" s="449" t="n"/>
    </row>
    <row r="35" ht="27.75" customHeight="1" s="462">
      <c r="A35" s="423">
        <f>IF(B35="","",COUNTA($B$5:B35))</f>
        <v/>
      </c>
      <c r="B35" s="57" t="n"/>
      <c r="C35" s="441" t="n"/>
      <c r="D35" s="63" t="n"/>
      <c r="E35" s="441" t="n"/>
      <c r="F35" s="57" t="n"/>
      <c r="G35" s="207" t="n"/>
      <c r="H35" s="260" t="n"/>
      <c r="I35" s="119" t="n"/>
      <c r="J35" s="420" t="n"/>
      <c r="K35" s="72" t="n"/>
      <c r="L35" s="61" t="n"/>
      <c r="M35" s="449" t="n"/>
      <c r="N35" s="449" t="n"/>
    </row>
    <row r="36" ht="27" customHeight="1" s="462">
      <c r="A36" s="423">
        <f>IF(B36="","",COUNTA($B$5:B36))</f>
        <v/>
      </c>
      <c r="B36" s="57" t="n"/>
      <c r="C36" s="63" t="n"/>
      <c r="D36" s="63" t="n"/>
      <c r="E36" s="441" t="n"/>
      <c r="F36" s="441" t="n"/>
      <c r="G36" s="302" t="n"/>
      <c r="H36" s="260" t="n"/>
      <c r="I36" s="119" t="n"/>
      <c r="J36" s="420" t="n"/>
      <c r="K36" s="72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M36" s="449" t="n"/>
    </row>
    <row r="37" ht="27" customHeight="1" s="462">
      <c r="A37" s="423">
        <f>IF(B37="","",COUNTA($B$5:B37))</f>
        <v/>
      </c>
      <c r="B37" s="57" t="n"/>
      <c r="C37" s="63" t="n"/>
      <c r="D37" s="441" t="n"/>
      <c r="E37" s="441" t="n"/>
      <c r="F37" s="57" t="n"/>
      <c r="G37" s="302" t="n"/>
      <c r="H37" s="260" t="n"/>
      <c r="I37" s="119" t="n"/>
      <c r="J37" s="420" t="n"/>
      <c r="K37" s="72" t="n"/>
      <c r="L37" s="61" t="n"/>
      <c r="M37" s="449" t="n"/>
    </row>
    <row r="38" ht="27" customHeight="1" s="462">
      <c r="A38" s="423">
        <f>IF(B38="","",COUNTA($B$5:B38))</f>
        <v/>
      </c>
      <c r="B38" s="57" t="n"/>
      <c r="C38" s="64" t="n"/>
      <c r="D38" s="441" t="n"/>
      <c r="E38" s="441" t="n"/>
      <c r="F38" s="275" t="n"/>
      <c r="G38" s="302" t="n"/>
      <c r="H38" s="260" t="n"/>
      <c r="I38" s="119" t="n"/>
      <c r="J38" s="420" t="n"/>
      <c r="K38" s="72" t="n"/>
      <c r="L38" s="61" t="n"/>
      <c r="M38" s="449" t="n"/>
      <c r="N38" s="449" t="n"/>
    </row>
    <row r="39" ht="33.75" customHeight="1" s="462">
      <c r="A39" s="423">
        <f>IF(B39="","",COUNTA($B$5:B39))</f>
        <v/>
      </c>
      <c r="B39" s="441" t="n"/>
      <c r="C39" s="440" t="n"/>
      <c r="D39" s="441" t="n"/>
      <c r="E39" s="440" t="n"/>
      <c r="F39" s="275" t="n"/>
      <c r="G39" s="302" t="n"/>
      <c r="H39" s="260" t="n"/>
      <c r="I39" s="120" t="n"/>
      <c r="J39" s="420" t="n"/>
      <c r="K39" s="72" t="n"/>
      <c r="L39" s="61" t="n"/>
      <c r="M39" s="449" t="n"/>
    </row>
    <row r="40" ht="40.5" customHeight="1" s="462">
      <c r="A40" s="423">
        <f>IF(B40="","",COUNTA($B$5:B40))</f>
        <v/>
      </c>
      <c r="B40" s="57" t="n"/>
      <c r="C40" s="441" t="n"/>
      <c r="D40" s="63" t="n"/>
      <c r="E40" s="249" t="n"/>
      <c r="F40" s="274" t="n"/>
      <c r="G40" s="302" t="n"/>
      <c r="H40" s="260" t="n"/>
      <c r="I40" s="119" t="n"/>
      <c r="J40" s="420" t="n"/>
      <c r="K40" s="72" t="n"/>
      <c r="L40" s="61" t="n"/>
      <c r="M40" s="449" t="n"/>
      <c r="N40" s="449" t="n"/>
    </row>
    <row r="41" ht="27.75" customHeight="1" s="462">
      <c r="A41" s="423">
        <f>IF(B41="","",COUNTA($B$5:B41))</f>
        <v/>
      </c>
      <c r="B41" s="57" t="n"/>
      <c r="C41" s="63" t="n"/>
      <c r="D41" s="441" t="n"/>
      <c r="E41" s="441" t="n"/>
      <c r="F41" s="275" t="n"/>
      <c r="G41" s="302" t="n"/>
      <c r="H41" s="260" t="n"/>
      <c r="I41" s="119" t="n"/>
      <c r="J41" s="420" t="n"/>
      <c r="K41" s="72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M41" s="449" t="n"/>
      <c r="N41" s="449" t="n"/>
    </row>
    <row r="42" ht="27.75" customHeight="1" s="462">
      <c r="A42" s="423">
        <f>IF(B42="","",COUNTA($B$5:B42))</f>
        <v/>
      </c>
      <c r="B42" s="441" t="n"/>
      <c r="C42" s="441" t="n"/>
      <c r="D42" s="441" t="n"/>
      <c r="E42" s="440" t="n"/>
      <c r="F42" s="274" t="n"/>
      <c r="G42" s="302" t="n"/>
      <c r="H42" s="260" t="n"/>
      <c r="I42" s="119" t="n"/>
      <c r="J42" s="420" t="n"/>
      <c r="K42" s="72" t="n"/>
      <c r="L42" s="61" t="n"/>
      <c r="M42" s="449" t="n"/>
      <c r="N42" s="449" t="n"/>
    </row>
    <row r="43" ht="27.75" customHeight="1" s="462">
      <c r="A43" s="423">
        <f>IF(B43="","",COUNTA($B$5:B43))</f>
        <v/>
      </c>
      <c r="B43" s="441" t="n"/>
      <c r="C43" s="63" t="n"/>
      <c r="D43" s="440" t="n"/>
      <c r="E43" s="441" t="n"/>
      <c r="F43" s="275" t="n"/>
      <c r="G43" s="305" t="n"/>
      <c r="H43" s="260" t="n"/>
      <c r="I43" s="119" t="n"/>
      <c r="J43" s="420" t="n"/>
      <c r="K43" s="420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61" t="n"/>
      <c r="M43" s="449" t="n"/>
      <c r="N43" s="449" t="n"/>
    </row>
    <row r="44" ht="24.75" customHeight="1" s="462">
      <c r="A44" s="423">
        <f>IF(B44="","",COUNTA($B$5:B44))</f>
        <v/>
      </c>
      <c r="B44" s="57" t="n"/>
      <c r="C44" s="63" t="n"/>
      <c r="D44" s="441" t="n"/>
      <c r="E44" s="441" t="n"/>
      <c r="F44" s="57" t="n"/>
      <c r="G44" s="207" t="n"/>
      <c r="H44" s="260" t="n"/>
      <c r="I44" s="119" t="n"/>
      <c r="J44" s="420" t="n"/>
      <c r="K44" s="420" t="n"/>
      <c r="L44" s="61" t="n"/>
      <c r="M44" s="449" t="n"/>
      <c r="N44" s="449" t="n"/>
    </row>
    <row r="45" ht="27" customHeight="1" s="462">
      <c r="A45" s="423">
        <f>IF(B45="","",COUNTA($B$5:B45))</f>
        <v/>
      </c>
      <c r="B45" s="420" t="n"/>
      <c r="C45" s="420" t="n"/>
      <c r="D45" s="420" t="n"/>
      <c r="E45" s="420" t="n"/>
      <c r="F45" s="420" t="n"/>
      <c r="G45" s="69" t="n"/>
      <c r="H45" s="70" t="n"/>
      <c r="I45" s="70" t="n"/>
      <c r="J45" s="420" t="n"/>
      <c r="K45" s="22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61" t="n"/>
      <c r="M45" s="449" t="n"/>
    </row>
    <row r="46">
      <c r="B46" s="18" t="n"/>
      <c r="C46" s="18" t="n"/>
      <c r="D46" s="18" t="n"/>
      <c r="E46" s="18" t="n"/>
      <c r="F46" s="18" t="n"/>
      <c r="G46" s="19" t="n"/>
      <c r="H46" s="33" t="n"/>
      <c r="I46" s="18" t="n"/>
      <c r="J46" s="18" t="n"/>
      <c r="K46" s="18" t="n"/>
    </row>
    <row r="47">
      <c r="B47" s="18" t="n"/>
      <c r="C47" s="18" t="n"/>
      <c r="D47" s="18" t="n"/>
      <c r="E47" s="18" t="n"/>
      <c r="F47" s="18" t="n"/>
      <c r="G47" s="19" t="n"/>
      <c r="H47" s="33" t="n"/>
      <c r="I47" s="18" t="n"/>
      <c r="J47" s="18" t="n"/>
      <c r="K47" s="18" t="n"/>
    </row>
    <row r="48" ht="14.25" customHeight="1" s="462" thickBot="1"/>
    <row r="49">
      <c r="B49" s="22" t="n"/>
      <c r="C49" s="25" t="n"/>
      <c r="D49" s="25" t="inlineStr">
        <is>
          <t>現在待機場所</t>
        </is>
      </c>
      <c r="E49" s="25" t="inlineStr">
        <is>
          <t>待機予定場所</t>
        </is>
      </c>
      <c r="F49" s="466" t="n"/>
      <c r="H49" s="375" t="inlineStr">
        <is>
          <t>目標距離</t>
        </is>
      </c>
      <c r="I49" s="465" t="n"/>
      <c r="J49" s="467" t="n"/>
      <c r="K49" s="377" t="n"/>
    </row>
    <row r="50" ht="14.25" customHeight="1" s="462" thickBot="1">
      <c r="B50" s="26" t="inlineStr">
        <is>
          <t>2(255)</t>
        </is>
      </c>
      <c r="C50" s="21" t="inlineStr">
        <is>
          <t>山岸</t>
        </is>
      </c>
      <c r="D50" s="34" t="n"/>
      <c r="E50" s="34" t="n"/>
      <c r="F50" s="466" t="n"/>
      <c r="H50" s="468" t="n"/>
      <c r="I50" s="477" t="n"/>
      <c r="J50" s="469" t="n"/>
      <c r="K50" s="470" t="n"/>
    </row>
    <row r="51">
      <c r="B51" s="26" t="inlineStr">
        <is>
          <t>8(254)</t>
        </is>
      </c>
      <c r="C51" s="21" t="inlineStr">
        <is>
          <t>砂川</t>
        </is>
      </c>
      <c r="D51" s="35" t="n"/>
      <c r="E51" s="35" t="n"/>
      <c r="F51" s="466" t="n"/>
      <c r="H51" s="368" t="inlineStr">
        <is>
          <t>残距離</t>
        </is>
      </c>
      <c r="J51" s="471" t="n"/>
      <c r="K51" s="354" t="n"/>
    </row>
    <row r="52" ht="14.25" customHeight="1" s="462" thickBot="1">
      <c r="B52" s="26" t="inlineStr">
        <is>
          <t>9(256)</t>
        </is>
      </c>
      <c r="C52" s="21" t="inlineStr">
        <is>
          <t>前川</t>
        </is>
      </c>
      <c r="D52" s="35" t="n"/>
      <c r="E52" s="35" t="n"/>
      <c r="F52" s="466" t="n"/>
      <c r="H52" s="468" t="n"/>
      <c r="I52" s="477" t="n"/>
      <c r="J52" s="469" t="n"/>
      <c r="K52" s="472" t="n"/>
    </row>
    <row r="53" ht="14.25" customHeight="1" s="462" thickBot="1">
      <c r="B53" s="26" t="inlineStr">
        <is>
          <t>10(257)</t>
        </is>
      </c>
      <c r="C53" s="35" t="n"/>
      <c r="D53" s="35" t="n"/>
      <c r="E53" s="35" t="n"/>
      <c r="F53" s="466" t="n"/>
      <c r="K53" s="2">
        <f t="array" ref="K53">IF(OR(H53="",L53=""),"",IFERROR(_xlfn.LET(_xlpm.vt,VLOOKUP(IFERROR(VALUE(LEFT(H53,FIND("＊",H53&amp;"＊")-1)),H53),運賃マスター!$A$22:$B$40,2,FALSE),_xlpm.d,L53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54">
      <c r="B54" s="26" t="inlineStr">
        <is>
          <t>11(258)</t>
        </is>
      </c>
      <c r="C54" s="21" t="inlineStr">
        <is>
          <t>郡司</t>
        </is>
      </c>
      <c r="D54" s="35" t="n"/>
      <c r="E54" s="35" t="n"/>
      <c r="F54" s="466" t="n"/>
      <c r="H54" s="350" t="inlineStr">
        <is>
          <t>依頼件数</t>
        </is>
      </c>
      <c r="I54" s="465" t="n"/>
      <c r="J54" s="467" t="n"/>
      <c r="K54" s="354" t="n"/>
    </row>
    <row r="55" ht="14.25" customHeight="1" s="462" thickBot="1">
      <c r="B55" s="26" t="inlineStr">
        <is>
          <t>12(736)</t>
        </is>
      </c>
      <c r="C55" s="21" t="n"/>
      <c r="D55" s="35" t="n"/>
      <c r="E55" s="35" t="n"/>
      <c r="F55" s="466" t="n"/>
      <c r="H55" s="468" t="n"/>
      <c r="I55" s="477" t="n"/>
      <c r="J55" s="469" t="n"/>
      <c r="K55" s="472" t="n"/>
    </row>
    <row r="56" ht="16.5" customHeight="1" s="462">
      <c r="B56" s="26" t="inlineStr">
        <is>
          <t>13(737)</t>
        </is>
      </c>
      <c r="C56" s="21" t="n"/>
      <c r="D56" s="35" t="n"/>
      <c r="E56" s="35" t="n"/>
      <c r="F56" s="466" t="n"/>
      <c r="H56" s="38" t="n"/>
      <c r="I56" s="38" t="n"/>
      <c r="J56" s="38" t="n"/>
      <c r="K56" s="39" t="n"/>
    </row>
    <row r="57" ht="16.5" customHeight="1" s="462">
      <c r="B57" s="40" t="inlineStr">
        <is>
          <t>14(738)</t>
        </is>
      </c>
      <c r="C57" s="21" t="inlineStr">
        <is>
          <t>辻井</t>
        </is>
      </c>
      <c r="D57" s="35" t="n"/>
      <c r="E57" s="35" t="n"/>
      <c r="F57" s="466" t="n"/>
      <c r="H57" s="38" t="n"/>
      <c r="I57" s="38" t="n"/>
      <c r="J57" s="38" t="n"/>
      <c r="K57" s="39" t="n"/>
    </row>
    <row r="58" ht="8.25" customHeight="1" s="462">
      <c r="B58" s="41" t="n"/>
      <c r="C58" s="42" t="n"/>
      <c r="D58" s="43" t="n"/>
      <c r="E58" s="44" t="n"/>
      <c r="F58" s="349" t="n"/>
      <c r="H58" s="38" t="n"/>
      <c r="I58" s="38" t="n"/>
      <c r="J58" s="38" t="n"/>
      <c r="K58" s="39" t="n"/>
    </row>
    <row r="59" ht="17.25" customHeight="1" s="462">
      <c r="B59" s="45" t="n">
        <v>7290</v>
      </c>
      <c r="C59" s="21" t="inlineStr">
        <is>
          <t>佐藤</t>
        </is>
      </c>
      <c r="D59" s="35" t="n"/>
      <c r="E59" s="348" t="n"/>
      <c r="F59" s="349" t="n"/>
      <c r="H59" s="38" t="n"/>
      <c r="I59" s="38" t="n"/>
      <c r="J59" s="38" t="n"/>
      <c r="K59" s="39" t="n"/>
    </row>
    <row r="60" ht="17.25" customHeight="1" s="462">
      <c r="B60" s="45" t="n">
        <v>7291</v>
      </c>
      <c r="C60" s="21" t="inlineStr">
        <is>
          <t>末次</t>
        </is>
      </c>
      <c r="D60" s="35" t="n"/>
      <c r="E60" s="348" t="n"/>
      <c r="F60" s="349" t="n"/>
      <c r="H60" s="38" t="n"/>
      <c r="I60" s="38" t="n"/>
      <c r="J60" s="38" t="n"/>
      <c r="K60" s="39" t="n"/>
    </row>
    <row r="61" ht="9" customHeight="1" s="462">
      <c r="B61" s="41" t="n"/>
      <c r="C61" s="42" t="n"/>
      <c r="D61" s="44" t="n"/>
      <c r="E61" s="44" t="n"/>
      <c r="F61" s="349" t="n"/>
      <c r="H61" s="38" t="n"/>
      <c r="I61" s="38" t="n"/>
      <c r="J61" s="38" t="n"/>
      <c r="K61" s="39" t="n"/>
    </row>
    <row r="62" ht="16.5" customHeight="1" s="462">
      <c r="B62" s="45" t="n">
        <v>333</v>
      </c>
      <c r="C62" s="21" t="inlineStr">
        <is>
          <t>金井/奥田</t>
        </is>
      </c>
      <c r="D62" s="35" t="n"/>
      <c r="E62" s="484" t="n"/>
      <c r="F62" s="469" t="n"/>
      <c r="H62" s="38" t="n"/>
      <c r="I62" s="38" t="n"/>
      <c r="J62" s="38" t="n"/>
      <c r="K62" s="39" t="n"/>
    </row>
    <row r="63" ht="16.5" customHeight="1" s="462">
      <c r="B63" s="46" t="n">
        <v>666</v>
      </c>
      <c r="C63" s="21" t="inlineStr">
        <is>
          <t>徳留</t>
        </is>
      </c>
      <c r="D63" s="35" t="n"/>
      <c r="E63" s="35" t="n"/>
      <c r="F63" s="466" t="n"/>
      <c r="H63" s="38" t="n"/>
      <c r="I63" s="38" t="n"/>
      <c r="J63" s="38" t="n"/>
      <c r="K63" s="39" t="n"/>
    </row>
    <row r="64" ht="16.5" customHeight="1" s="462">
      <c r="B64" s="46" t="n">
        <v>777</v>
      </c>
      <c r="C64" s="21" t="n"/>
      <c r="D64" s="35" t="n"/>
      <c r="E64" s="348" t="n"/>
      <c r="F64" s="349" t="n"/>
      <c r="H64" s="38" t="n"/>
      <c r="I64" s="38" t="n"/>
      <c r="J64" s="38" t="n"/>
      <c r="K64" s="39" t="n"/>
    </row>
    <row r="65" ht="16.5" customHeight="1" s="462">
      <c r="B65" s="47" t="n">
        <v>330</v>
      </c>
      <c r="C65" s="21" t="n"/>
      <c r="D65" s="35" t="n"/>
      <c r="E65" s="35" t="n"/>
      <c r="F65" s="466" t="n"/>
      <c r="H65" s="38" t="n"/>
      <c r="I65" s="38" t="n"/>
      <c r="J65" s="38" t="n"/>
      <c r="K65" s="39" t="n"/>
    </row>
    <row r="66" ht="16.5" customHeight="1" s="462">
      <c r="B66" s="47" t="n">
        <v>990</v>
      </c>
      <c r="C66" s="21" t="inlineStr">
        <is>
          <t>山原</t>
        </is>
      </c>
      <c r="D66" s="35" t="n"/>
      <c r="E66" s="35" t="n"/>
      <c r="F66" s="466" t="n"/>
      <c r="H66" s="38" t="n"/>
      <c r="I66" s="38" t="n"/>
      <c r="J66" s="38" t="n"/>
      <c r="K66" s="39" t="n"/>
    </row>
    <row r="67"/>
    <row r="68">
      <c r="C68" s="449" t="inlineStr">
        <is>
          <t>出発→到着</t>
        </is>
      </c>
      <c r="D68" s="420" t="inlineStr">
        <is>
          <t>備考</t>
        </is>
      </c>
    </row>
    <row r="69">
      <c r="B69" s="27" t="inlineStr">
        <is>
          <t>①</t>
        </is>
      </c>
      <c r="C69" s="449" t="inlineStr">
        <is>
          <t>東→西</t>
        </is>
      </c>
      <c r="D69" s="485" t="inlineStr">
        <is>
          <t>①Aチーム優先</t>
        </is>
      </c>
      <c r="E69" s="486" t="n"/>
      <c r="F69" s="486" t="n"/>
      <c r="G69" s="486" t="n"/>
      <c r="H69" s="486" t="n"/>
      <c r="I69" s="486" t="n"/>
      <c r="J69" s="466" t="n"/>
    </row>
    <row r="70">
      <c r="B70" s="27" t="inlineStr">
        <is>
          <t>②</t>
        </is>
      </c>
      <c r="C70" s="449" t="inlineStr">
        <is>
          <t>東→東</t>
        </is>
      </c>
      <c r="D70" s="485" t="inlineStr">
        <is>
          <t>②急ぎ案件の場合、道路状況も伝えてあげる。</t>
        </is>
      </c>
      <c r="E70" s="486" t="n"/>
      <c r="F70" s="486" t="n"/>
      <c r="G70" s="486" t="n"/>
      <c r="H70" s="486" t="n"/>
      <c r="I70" s="486" t="n"/>
      <c r="J70" s="466" t="n"/>
    </row>
    <row r="71">
      <c r="B71" s="27" t="inlineStr">
        <is>
          <t>③</t>
        </is>
      </c>
      <c r="C71" s="449" t="inlineStr">
        <is>
          <t>西→東</t>
        </is>
      </c>
      <c r="D71" s="485" t="inlineStr">
        <is>
          <t>③各ドライバーの位置からの帰社のタイミング・夕方の配置</t>
        </is>
      </c>
      <c r="E71" s="486" t="n"/>
      <c r="F71" s="486" t="n"/>
      <c r="G71" s="486" t="n"/>
      <c r="H71" s="486" t="n"/>
      <c r="I71" s="486" t="n"/>
      <c r="J71" s="466" t="n"/>
    </row>
    <row r="72">
      <c r="B72" s="27" t="inlineStr">
        <is>
          <t>④</t>
        </is>
      </c>
      <c r="C72" s="449" t="inlineStr">
        <is>
          <t>西→西</t>
        </is>
      </c>
      <c r="D72" s="485" t="inlineStr">
        <is>
          <t>④依頼を受ける際の、希望時間と現状の位置。行けるか行けないかの判断をしっかりと。</t>
        </is>
      </c>
      <c r="E72" s="486" t="n"/>
      <c r="F72" s="486" t="n"/>
      <c r="G72" s="486" t="n"/>
      <c r="H72" s="486" t="n"/>
      <c r="I72" s="486" t="n"/>
      <c r="J72" s="466" t="n"/>
    </row>
    <row r="73">
      <c r="D73" s="485" t="inlineStr">
        <is>
          <t>⑤軽に乗るか乗らないかの判断に気を付ける。</t>
        </is>
      </c>
      <c r="E73" s="486" t="n"/>
      <c r="F73" s="486" t="n"/>
      <c r="G73" s="486" t="n"/>
      <c r="H73" s="486" t="n"/>
      <c r="I73" s="486" t="n"/>
      <c r="J73" s="466" t="n"/>
    </row>
    <row r="74">
      <c r="B74" s="22" t="n"/>
      <c r="C74" s="420" t="inlineStr">
        <is>
          <t>現状配置(予測)</t>
        </is>
      </c>
      <c r="D74" s="485" t="inlineStr">
        <is>
          <t>⑥18/1日、1.8/1人、3件/1人</t>
        </is>
      </c>
      <c r="E74" s="486" t="n"/>
      <c r="F74" s="486" t="n"/>
      <c r="G74" s="486" t="n"/>
      <c r="H74" s="486" t="n"/>
      <c r="I74" s="486" t="n"/>
      <c r="J74" s="466" t="n"/>
    </row>
    <row r="75">
      <c r="B75" s="420" t="inlineStr">
        <is>
          <t>西(神戸西・弥栄台)</t>
        </is>
      </c>
      <c r="C75" s="420" t="n"/>
      <c r="D75" s="485" t="inlineStr">
        <is>
          <t>⑦依頼書の見落とし(日付、入替、入出庫、場所）</t>
        </is>
      </c>
      <c r="E75" s="486" t="n"/>
      <c r="F75" s="486" t="n"/>
      <c r="G75" s="486" t="n"/>
      <c r="H75" s="486" t="n"/>
      <c r="I75" s="486" t="n"/>
      <c r="J75" s="466" t="n"/>
    </row>
    <row r="76">
      <c r="B76" s="420" t="inlineStr">
        <is>
          <t>真ん中(摩耶・中央)</t>
        </is>
      </c>
      <c r="C76" s="420" t="n"/>
      <c r="D76" s="485" t="inlineStr">
        <is>
          <t>⑧3ｔ車と2ｔ車への振り方(西と東に振り分ける)</t>
        </is>
      </c>
      <c r="E76" s="486" t="n"/>
      <c r="F76" s="486" t="n"/>
      <c r="G76" s="486" t="n"/>
      <c r="H76" s="486" t="n"/>
      <c r="I76" s="486" t="n"/>
      <c r="J76" s="466" t="n"/>
    </row>
    <row r="77">
      <c r="B77" s="420" t="inlineStr">
        <is>
          <t>東(尼崎・伊丹・西宮)</t>
        </is>
      </c>
      <c r="C77" s="420" t="n"/>
      <c r="D77" s="485" t="inlineStr">
        <is>
          <t>⑨</t>
        </is>
      </c>
      <c r="E77" s="486" t="n"/>
      <c r="F77" s="486" t="n"/>
      <c r="G77" s="486" t="n"/>
      <c r="H77" s="486" t="n"/>
      <c r="I77" s="486" t="n"/>
      <c r="J77" s="466" t="n"/>
    </row>
    <row r="78">
      <c r="B78" s="48" t="inlineStr">
        <is>
          <t>極東(港区・淀屋橋)</t>
        </is>
      </c>
      <c r="C78" s="420" t="n"/>
      <c r="D78" s="49" t="n"/>
      <c r="E78" s="49" t="n"/>
      <c r="F78" s="49" t="n"/>
      <c r="G78" s="49" t="n"/>
      <c r="H78" s="49" t="n"/>
      <c r="I78" s="49" t="n"/>
      <c r="J78" s="49" t="n"/>
    </row>
    <row r="79" ht="14.25" customHeight="1" s="462" thickBot="1"/>
    <row r="80">
      <c r="C80" s="473" t="inlineStr">
        <is>
          <t>合計額/380</t>
        </is>
      </c>
      <c r="D80" s="358">
        <f>SUM(G80)</f>
        <v/>
      </c>
      <c r="F80" s="360" t="inlineStr">
        <is>
          <t>売り上げ額</t>
        </is>
      </c>
      <c r="G80" s="362">
        <f>SUM(K5:K48)</f>
        <v/>
      </c>
      <c r="H80" s="465" t="n"/>
      <c r="I80" s="465" t="n"/>
      <c r="J80" s="467" t="n"/>
    </row>
    <row r="81" ht="14.25" customHeight="1" s="462" thickBot="1">
      <c r="C81" s="474" t="n"/>
      <c r="D81" s="475" t="n"/>
      <c r="F81" s="468" t="n"/>
      <c r="G81" s="476" t="n"/>
      <c r="H81" s="477" t="n"/>
      <c r="I81" s="477" t="n"/>
      <c r="J81" s="469" t="n"/>
    </row>
    <row r="82">
      <c r="C82" s="478" t="inlineStr">
        <is>
          <t>前日までの売上合計額</t>
        </is>
      </c>
      <c r="D82" s="479">
        <f>SUM(B91)</f>
        <v/>
      </c>
    </row>
    <row r="83" ht="14.25" customHeight="1" s="462" thickBot="1">
      <c r="C83" s="480" t="n"/>
      <c r="D83" s="480" t="n"/>
      <c r="F83" s="420" t="inlineStr">
        <is>
          <t>金井（55)</t>
        </is>
      </c>
      <c r="G83" s="345" t="n"/>
      <c r="H83" s="466" t="n"/>
      <c r="I83" s="130" t="n"/>
    </row>
    <row r="84" ht="14.25" customHeight="1" s="462" thickTop="1">
      <c r="D84" s="346">
        <f>D80+D82</f>
        <v/>
      </c>
      <c r="F84" s="420" t="inlineStr">
        <is>
          <t>粟津(55)</t>
        </is>
      </c>
      <c r="G84" s="340" t="n"/>
      <c r="H84" s="466" t="n"/>
      <c r="I84" s="131" t="n"/>
    </row>
    <row r="85">
      <c r="F85" s="420" t="inlineStr">
        <is>
          <t>砂川(50)</t>
        </is>
      </c>
      <c r="G85" s="340" t="n"/>
      <c r="H85" s="466" t="n"/>
      <c r="I85" s="131" t="n"/>
    </row>
    <row r="86">
      <c r="C86" s="2" t="inlineStr">
        <is>
          <t>高代</t>
        </is>
      </c>
      <c r="F86" s="420" t="inlineStr">
        <is>
          <t>前川(50)</t>
        </is>
      </c>
      <c r="G86" s="340" t="n"/>
      <c r="H86" s="466" t="n"/>
      <c r="I86" s="131" t="n"/>
    </row>
    <row r="87">
      <c r="C87" s="2" t="inlineStr">
        <is>
          <t>返還代</t>
        </is>
      </c>
      <c r="F87" s="420" t="inlineStr">
        <is>
          <t>佐藤(50)</t>
        </is>
      </c>
      <c r="G87" s="345" t="n"/>
      <c r="H87" s="466" t="n"/>
      <c r="I87" s="130" t="n"/>
    </row>
    <row r="88">
      <c r="C88" s="2" t="inlineStr">
        <is>
          <t>回収率</t>
        </is>
      </c>
      <c r="D88" s="50">
        <f>D87/D86</f>
        <v/>
      </c>
      <c r="F88" s="420" t="inlineStr">
        <is>
          <t>末次(55)</t>
        </is>
      </c>
      <c r="G88" s="340" t="n"/>
      <c r="H88" s="466" t="n"/>
      <c r="I88" s="131" t="n"/>
    </row>
    <row r="89">
      <c r="C89" s="2" t="inlineStr">
        <is>
          <t>費</t>
        </is>
      </c>
      <c r="D89" s="2">
        <f>D86-D87</f>
        <v/>
      </c>
      <c r="F89" s="420" t="inlineStr">
        <is>
          <t>筒井(75)</t>
        </is>
      </c>
      <c r="G89" s="340" t="n"/>
      <c r="H89" s="466" t="n"/>
      <c r="I89" s="131" t="n"/>
    </row>
    <row r="90">
      <c r="F90" s="420" t="inlineStr">
        <is>
          <t>山岸(40)</t>
        </is>
      </c>
      <c r="G90" s="340" t="n"/>
      <c r="H90" s="466" t="n"/>
      <c r="I90" s="131" t="n"/>
    </row>
    <row r="91" ht="23.25" customHeight="1" s="462">
      <c r="B91" s="71" t="n"/>
      <c r="F91" s="420" t="inlineStr">
        <is>
          <t>多苗(30)</t>
        </is>
      </c>
      <c r="G91" s="340" t="n"/>
      <c r="H91" s="466" t="n"/>
      <c r="I91" s="131" t="n"/>
      <c r="L91" s="2" t="inlineStr">
        <is>
          <t> </t>
        </is>
      </c>
    </row>
  </sheetData>
  <autoFilter ref="F1:F91"/>
  <mergeCells count="55">
    <mergeCell ref="D71:J71"/>
    <mergeCell ref="E50:F50"/>
    <mergeCell ref="K54:K55"/>
    <mergeCell ref="F80:F81"/>
    <mergeCell ref="E55:F55"/>
    <mergeCell ref="G86:H86"/>
    <mergeCell ref="E62:F62"/>
    <mergeCell ref="D74:J74"/>
    <mergeCell ref="K51:K52"/>
    <mergeCell ref="D80:D81"/>
    <mergeCell ref="D73:J73"/>
    <mergeCell ref="M5:N5"/>
    <mergeCell ref="E52:F52"/>
    <mergeCell ref="M39:N39"/>
    <mergeCell ref="E51:F51"/>
    <mergeCell ref="B2:C2"/>
    <mergeCell ref="C80:C81"/>
    <mergeCell ref="M11:N11"/>
    <mergeCell ref="H54:J55"/>
    <mergeCell ref="E63:F63"/>
    <mergeCell ref="D69:J69"/>
    <mergeCell ref="G80:J81"/>
    <mergeCell ref="M13:N13"/>
    <mergeCell ref="G87:H87"/>
    <mergeCell ref="E65:F65"/>
    <mergeCell ref="M30:N30"/>
    <mergeCell ref="G83:H83"/>
    <mergeCell ref="H49:J50"/>
    <mergeCell ref="M37:N37"/>
    <mergeCell ref="E49:F49"/>
    <mergeCell ref="C82:C83"/>
    <mergeCell ref="M36:N36"/>
    <mergeCell ref="D77:J77"/>
    <mergeCell ref="G89:H89"/>
    <mergeCell ref="M45:N45"/>
    <mergeCell ref="M3:N3"/>
    <mergeCell ref="H51:J52"/>
    <mergeCell ref="G88:H88"/>
    <mergeCell ref="D76:J76"/>
    <mergeCell ref="E57:F57"/>
    <mergeCell ref="G91:H91"/>
    <mergeCell ref="D70:J70"/>
    <mergeCell ref="E54:F54"/>
    <mergeCell ref="G85:H85"/>
    <mergeCell ref="D82:D83"/>
    <mergeCell ref="D75:J75"/>
    <mergeCell ref="K49:K50"/>
    <mergeCell ref="G90:H90"/>
    <mergeCell ref="E53:F53"/>
    <mergeCell ref="G84:H84"/>
    <mergeCell ref="D72:J72"/>
    <mergeCell ref="E66:F66"/>
    <mergeCell ref="E56:F56"/>
    <mergeCell ref="M4:N4"/>
    <mergeCell ref="D84:D85"/>
  </mergeCells>
  <conditionalFormatting sqref="K51:K52">
    <cfRule type="cellIs" priority="5" operator="lessThan" dxfId="7">
      <formula>-90</formula>
    </cfRule>
    <cfRule type="cellIs" priority="6" operator="lessThan" dxfId="7">
      <formula>0</formula>
    </cfRule>
  </conditionalFormatting>
  <conditionalFormatting sqref="L3">
    <cfRule type="cellIs" priority="3" operator="greaterThan" dxfId="6">
      <formula>30</formula>
    </cfRule>
    <cfRule type="cellIs" priority="4" operator="greaterThan" dxfId="5">
      <formula>30</formula>
    </cfRule>
  </conditionalFormatting>
  <conditionalFormatting sqref="L3:L45">
    <cfRule type="cellIs" priority="2" operator="greaterThan" dxfId="0">
      <formula>30</formula>
    </cfRule>
  </conditionalFormatting>
  <conditionalFormatting sqref="D5:D54">
    <cfRule type="containsText" priority="7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80" horizontalDpi="1200" verticalDpi="1200"/>
</worksheet>
</file>

<file path=xl/worksheets/sheet22.xml><?xml version="1.0" encoding="utf-8"?>
<worksheet xmlns="http://schemas.openxmlformats.org/spreadsheetml/2006/main">
  <sheetPr codeName="Sheet21">
    <outlinePr summaryBelow="1" summaryRight="1"/>
    <pageSetUpPr fitToPage="1"/>
  </sheetPr>
  <dimension ref="A1:N65"/>
  <sheetViews>
    <sheetView zoomScale="70" zoomScaleNormal="70" workbookViewId="0">
      <selection activeCell="C17" sqref="C1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10"/>
    <col width="15.25" customWidth="1" style="2" min="11" max="11"/>
    <col outlineLevel="1" width="11.875" customWidth="1" style="77" min="12" max="12"/>
    <col width="8.75" customWidth="1" style="2" min="13" max="16384"/>
  </cols>
  <sheetData>
    <row r="1"/>
    <row r="2" ht="15" customHeight="1" s="462" thickBot="1">
      <c r="B2" s="488" t="n">
        <v>46185</v>
      </c>
      <c r="C2" s="463" t="n"/>
      <c r="D2" s="2" t="inlineStr">
        <is>
          <t>NO.2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2" t="inlineStr">
        <is>
          <t>メモ</t>
        </is>
      </c>
      <c r="N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336" t="n"/>
      <c r="J4" s="51" t="n"/>
      <c r="K4" s="51" t="n"/>
      <c r="L4" s="55" t="n"/>
      <c r="M4" s="388" t="n"/>
      <c r="N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274" t="n"/>
      <c r="G5" s="65" t="n"/>
      <c r="H5" s="262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274" t="n"/>
      <c r="G6" s="65" t="n"/>
      <c r="H6" s="262" t="n"/>
      <c r="I6" s="299" t="n"/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275" t="n"/>
      <c r="G7" s="65" t="n"/>
      <c r="H7" s="262" t="n"/>
      <c r="I7" s="299" t="n"/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274" t="n"/>
      <c r="G8" s="247" t="n"/>
      <c r="H8" s="262" t="n"/>
      <c r="I8" s="299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274" t="n"/>
      <c r="G9" s="65" t="n"/>
      <c r="H9" s="262" t="n"/>
      <c r="I9" s="299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260" t="n"/>
      <c r="I10" s="322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262" t="n"/>
      <c r="I11" s="299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262" t="n"/>
      <c r="I12" s="299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262" t="n"/>
      <c r="I13" s="299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262" t="n"/>
      <c r="I14" s="299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</row>
    <row r="15" ht="27" customHeight="1" s="462">
      <c r="A15" s="423" t="n"/>
      <c r="B15" s="57" t="n"/>
      <c r="C15" s="63" t="n"/>
      <c r="D15" s="441" t="n"/>
      <c r="E15" s="441" t="n"/>
      <c r="F15" s="57" t="n"/>
      <c r="G15" s="65" t="n"/>
      <c r="H15" s="262" t="n"/>
      <c r="I15" s="299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</row>
    <row r="16" ht="27" customHeight="1" s="462">
      <c r="A16" s="423">
        <f>IF(B16="","",COUNTA($B$5:B16))</f>
        <v/>
      </c>
      <c r="B16" s="441" t="n"/>
      <c r="C16" s="63" t="n"/>
      <c r="D16" s="441" t="n"/>
      <c r="E16" s="441" t="n"/>
      <c r="F16" s="57" t="n"/>
      <c r="G16" s="65" t="n"/>
      <c r="H16" s="262" t="n"/>
      <c r="I16" s="298" t="n"/>
      <c r="J16" s="420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</row>
    <row r="17" ht="27" customHeight="1" s="462">
      <c r="A17" s="423">
        <f>IF(B17="","",COUNTA($B$5:B17))</f>
        <v/>
      </c>
      <c r="B17" s="441" t="n"/>
      <c r="C17" s="63" t="n"/>
      <c r="D17" s="441" t="n"/>
      <c r="E17" s="441" t="n"/>
      <c r="F17" s="57" t="n"/>
      <c r="G17" s="59" t="n"/>
      <c r="H17" s="60" t="n"/>
      <c r="I17" s="318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</row>
    <row r="18" ht="27.75" customHeight="1" s="462">
      <c r="A18" s="423">
        <f>IF(B18="","",COUNTA($B$5:B18))</f>
        <v/>
      </c>
      <c r="B18" s="420" t="n"/>
      <c r="C18" s="420" t="n"/>
      <c r="D18" s="420" t="n"/>
      <c r="E18" s="420" t="n"/>
      <c r="F18" s="420" t="n"/>
      <c r="G18" s="69" t="n"/>
      <c r="H18" s="70" t="n"/>
      <c r="I18" s="337" t="n"/>
      <c r="J18" s="420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</row>
    <row r="19" ht="27" customHeight="1" s="462">
      <c r="B19" s="18" t="n"/>
      <c r="C19" s="18" t="n"/>
      <c r="D19" s="18" t="n"/>
      <c r="E19" s="18" t="n"/>
      <c r="F19" s="18" t="n"/>
      <c r="G19" s="19" t="n"/>
      <c r="H19" s="33" t="n"/>
      <c r="I19" s="18" t="n"/>
      <c r="J19" s="18" t="n"/>
      <c r="K19" s="33" t="n"/>
      <c r="L19" s="2" t="n"/>
    </row>
    <row r="20" ht="27" customHeight="1" s="462" thickBot="1">
      <c r="L20" s="2" t="n"/>
    </row>
    <row r="21" ht="27" customHeight="1" s="462">
      <c r="B21" s="22" t="n"/>
      <c r="C21" s="25" t="n"/>
      <c r="D21" s="25" t="inlineStr">
        <is>
          <t>現在待機場所</t>
        </is>
      </c>
      <c r="E21" s="25" t="inlineStr">
        <is>
          <t>待機予定場所</t>
        </is>
      </c>
      <c r="F21" s="466" t="n"/>
      <c r="H21" s="375" t="inlineStr">
        <is>
          <t>目標距離</t>
        </is>
      </c>
      <c r="I21" s="465" t="n"/>
      <c r="J21" s="467" t="n"/>
      <c r="K21" s="377" t="n"/>
      <c r="L21" s="2" t="n"/>
    </row>
    <row r="22" ht="27" customHeight="1" s="462" thickBot="1">
      <c r="B22" s="26" t="inlineStr">
        <is>
          <t>2(255)</t>
        </is>
      </c>
      <c r="C22" s="21" t="inlineStr">
        <is>
          <t>山岸</t>
        </is>
      </c>
      <c r="D22" s="34" t="n"/>
      <c r="E22" s="34" t="n"/>
      <c r="F22" s="466" t="n"/>
      <c r="H22" s="468" t="n"/>
      <c r="I22" s="477" t="n"/>
      <c r="J22" s="469" t="n"/>
      <c r="K22" s="470" t="n"/>
      <c r="L22" s="2" t="n"/>
    </row>
    <row r="23">
      <c r="B23" s="26" t="inlineStr">
        <is>
          <t>8(254)</t>
        </is>
      </c>
      <c r="C23" s="21" t="inlineStr">
        <is>
          <t>砂川</t>
        </is>
      </c>
      <c r="D23" s="35" t="n"/>
      <c r="E23" s="35" t="n"/>
      <c r="F23" s="466" t="n"/>
      <c r="H23" s="368" t="inlineStr">
        <is>
          <t>残距離</t>
        </is>
      </c>
      <c r="J23" s="471" t="n"/>
      <c r="K23" s="354" t="n"/>
      <c r="L23" s="2" t="n"/>
    </row>
    <row r="24">
      <c r="B24" s="26" t="inlineStr">
        <is>
          <t>9(256)</t>
        </is>
      </c>
      <c r="C24" s="21" t="inlineStr">
        <is>
          <t>前川</t>
        </is>
      </c>
      <c r="D24" s="35" t="n"/>
      <c r="E24" s="35" t="n"/>
      <c r="F24" s="466" t="n"/>
      <c r="H24" s="468" t="n"/>
      <c r="I24" s="477" t="n"/>
      <c r="J24" s="469" t="n"/>
      <c r="K24" s="472" t="n"/>
      <c r="L24" s="2" t="n"/>
    </row>
    <row r="25" ht="14.25" customHeight="1" s="462" thickBot="1">
      <c r="B25" s="26" t="inlineStr">
        <is>
          <t>10(257)</t>
        </is>
      </c>
      <c r="C25" s="35" t="n"/>
      <c r="D25" s="35" t="n"/>
      <c r="E25" s="35" t="n"/>
      <c r="F25" s="466" t="n"/>
      <c r="L25" s="2" t="n"/>
    </row>
    <row r="26">
      <c r="B26" s="26" t="inlineStr">
        <is>
          <t>11(258)</t>
        </is>
      </c>
      <c r="C26" s="21" t="inlineStr">
        <is>
          <t>郡司</t>
        </is>
      </c>
      <c r="D26" s="35" t="n"/>
      <c r="E26" s="35" t="n"/>
      <c r="F26" s="466" t="n"/>
      <c r="H26" s="350" t="inlineStr">
        <is>
          <t>依頼件数</t>
        </is>
      </c>
      <c r="I26" s="465" t="n"/>
      <c r="J26" s="467" t="n"/>
      <c r="K26" s="354" t="n"/>
      <c r="L26" s="2" t="n"/>
    </row>
    <row r="27" ht="14.25" customHeight="1" s="462" thickBot="1">
      <c r="B27" s="26" t="inlineStr">
        <is>
          <t>12(736)</t>
        </is>
      </c>
      <c r="C27" s="21" t="n"/>
      <c r="D27" s="35" t="n"/>
      <c r="E27" s="35" t="n"/>
      <c r="F27" s="466" t="n"/>
      <c r="H27" s="468" t="n"/>
      <c r="I27" s="477" t="n"/>
      <c r="J27" s="469" t="n"/>
      <c r="K27" s="472" t="n"/>
      <c r="L27" s="2" t="n"/>
    </row>
    <row r="28" ht="17.25" customHeight="1" s="462">
      <c r="B28" s="26" t="inlineStr">
        <is>
          <t>13(737)</t>
        </is>
      </c>
      <c r="C28" s="21" t="n"/>
      <c r="D28" s="35" t="n"/>
      <c r="E28" s="35" t="n"/>
      <c r="F28" s="466" t="n"/>
      <c r="H28" s="38" t="n"/>
      <c r="I28" s="38" t="n"/>
      <c r="J28" s="38" t="n"/>
      <c r="K28" s="39" t="n"/>
      <c r="L28" s="2" t="n"/>
    </row>
    <row r="29" ht="17.25" customHeight="1" s="462">
      <c r="B29" s="40" t="inlineStr">
        <is>
          <t>14(738)</t>
        </is>
      </c>
      <c r="C29" s="21" t="inlineStr">
        <is>
          <t>辻井</t>
        </is>
      </c>
      <c r="D29" s="35" t="n"/>
      <c r="E29" s="35" t="n"/>
      <c r="F29" s="466" t="n"/>
      <c r="H29" s="38" t="n"/>
      <c r="I29" s="38" t="n"/>
      <c r="J29" s="38" t="n"/>
      <c r="K29" s="39" t="n"/>
      <c r="L29" s="2" t="n"/>
    </row>
    <row r="30" ht="17.25" customHeight="1" s="462">
      <c r="B30" s="41" t="n"/>
      <c r="C30" s="42" t="n"/>
      <c r="D30" s="43" t="n"/>
      <c r="E30" s="44" t="n"/>
      <c r="F30" s="349" t="n"/>
      <c r="H30" s="38" t="n"/>
      <c r="I30" s="38" t="n"/>
      <c r="J30" s="38" t="n"/>
      <c r="K30" s="39" t="n"/>
      <c r="L30" s="2" t="n"/>
    </row>
    <row r="31" ht="17.25" customHeight="1" s="462">
      <c r="B31" s="45" t="n">
        <v>7290</v>
      </c>
      <c r="C31" s="21" t="inlineStr">
        <is>
          <t>佐藤</t>
        </is>
      </c>
      <c r="D31" s="35" t="n"/>
      <c r="E31" s="348" t="n"/>
      <c r="F31" s="349" t="n"/>
      <c r="H31" s="38" t="n"/>
      <c r="I31" s="38" t="n"/>
      <c r="J31" s="38" t="n"/>
      <c r="K31" s="39" t="n"/>
      <c r="L31" s="2" t="n"/>
    </row>
    <row r="32" ht="16.5" customHeight="1" s="462">
      <c r="B32" s="45" t="n">
        <v>7291</v>
      </c>
      <c r="C32" s="21" t="inlineStr">
        <is>
          <t>末次</t>
        </is>
      </c>
      <c r="D32" s="35" t="n"/>
      <c r="E32" s="348" t="n"/>
      <c r="F32" s="349" t="n"/>
      <c r="H32" s="38" t="n"/>
      <c r="I32" s="38" t="n"/>
      <c r="J32" s="38" t="n"/>
      <c r="K32" s="39" t="n"/>
      <c r="L32" s="2" t="n"/>
    </row>
    <row r="33" ht="16.5" customHeight="1" s="462">
      <c r="B33" s="41" t="n"/>
      <c r="C33" s="42" t="n"/>
      <c r="D33" s="44" t="n"/>
      <c r="E33" s="44" t="n"/>
      <c r="F33" s="349" t="n"/>
      <c r="H33" s="38" t="n"/>
      <c r="I33" s="38" t="n"/>
      <c r="J33" s="38" t="n"/>
      <c r="K33" s="39" t="n"/>
      <c r="L33" s="2" t="n"/>
    </row>
    <row r="34" ht="8.25" customHeight="1" s="462">
      <c r="B34" s="45" t="n">
        <v>333</v>
      </c>
      <c r="C34" s="21" t="inlineStr">
        <is>
          <t>金井/奥田</t>
        </is>
      </c>
      <c r="D34" s="35" t="n"/>
      <c r="E34" s="484" t="n"/>
      <c r="F34" s="469" t="n"/>
      <c r="H34" s="38" t="n"/>
      <c r="I34" s="38" t="n"/>
      <c r="J34" s="38" t="n"/>
      <c r="K34" s="39" t="n"/>
      <c r="L34" s="2" t="n"/>
    </row>
    <row r="35" ht="17.25" customHeight="1" s="462">
      <c r="B35" s="46" t="n">
        <v>666</v>
      </c>
      <c r="C35" s="21" t="inlineStr">
        <is>
          <t>徳留</t>
        </is>
      </c>
      <c r="D35" s="35" t="n"/>
      <c r="E35" s="35" t="n"/>
      <c r="F35" s="466" t="n"/>
      <c r="H35" s="38" t="n"/>
      <c r="I35" s="38" t="n"/>
      <c r="J35" s="38" t="n"/>
      <c r="K35" s="39" t="n"/>
      <c r="L35" s="2" t="n"/>
    </row>
    <row r="36" ht="17.25" customHeight="1" s="462">
      <c r="B36" s="46" t="n">
        <v>777</v>
      </c>
      <c r="C36" s="21" t="n"/>
      <c r="D36" s="35" t="n"/>
      <c r="E36" s="348" t="n"/>
      <c r="F36" s="349" t="n"/>
      <c r="H36" s="38" t="n"/>
      <c r="I36" s="38" t="n"/>
      <c r="J36" s="38" t="n"/>
      <c r="K36" s="39" t="n"/>
      <c r="L36" s="2" t="n"/>
    </row>
    <row r="37" ht="9" customHeight="1" s="462">
      <c r="B37" s="47" t="n">
        <v>330</v>
      </c>
      <c r="C37" s="21" t="n"/>
      <c r="D37" s="35" t="n"/>
      <c r="E37" s="35" t="n"/>
      <c r="F37" s="466" t="n"/>
      <c r="H37" s="38" t="n"/>
      <c r="I37" s="38" t="n"/>
      <c r="J37" s="38" t="n"/>
      <c r="K37" s="39" t="n"/>
      <c r="L37" s="2" t="n"/>
    </row>
    <row r="38" ht="16.5" customHeight="1" s="462">
      <c r="B38" s="47" t="n">
        <v>990</v>
      </c>
      <c r="C38" s="21" t="inlineStr">
        <is>
          <t>山原</t>
        </is>
      </c>
      <c r="D38" s="35" t="n"/>
      <c r="E38" s="35" t="n"/>
      <c r="F38" s="466" t="n"/>
      <c r="H38" s="38" t="n"/>
      <c r="I38" s="38" t="n"/>
      <c r="J38" s="38" t="n"/>
      <c r="K38" s="39" t="n"/>
      <c r="L38" s="2" t="n"/>
    </row>
    <row r="39" ht="16.5" customHeight="1" s="462">
      <c r="L39" s="2" t="n"/>
    </row>
    <row r="40" ht="16.5" customHeight="1" s="462">
      <c r="C40" s="449" t="inlineStr">
        <is>
          <t>出発→到着</t>
        </is>
      </c>
      <c r="D40" s="420" t="inlineStr">
        <is>
          <t>備考</t>
        </is>
      </c>
      <c r="L40" s="2" t="n"/>
    </row>
    <row r="41" ht="16.5" customHeight="1" s="462">
      <c r="B41" s="27" t="inlineStr">
        <is>
          <t>①</t>
        </is>
      </c>
      <c r="C41" s="449" t="inlineStr">
        <is>
          <t>東→西</t>
        </is>
      </c>
      <c r="D41" s="485" t="inlineStr">
        <is>
          <t>①Aチーム優先</t>
        </is>
      </c>
      <c r="E41" s="486" t="n"/>
      <c r="F41" s="486" t="n"/>
      <c r="G41" s="486" t="n"/>
      <c r="H41" s="486" t="n"/>
      <c r="I41" s="486" t="n"/>
      <c r="J41" s="466" t="n"/>
      <c r="L41" s="2" t="n"/>
    </row>
    <row r="42" ht="16.5" customHeight="1" s="462">
      <c r="B42" s="27" t="inlineStr">
        <is>
          <t>②</t>
        </is>
      </c>
      <c r="C42" s="449" t="inlineStr">
        <is>
          <t>東→東</t>
        </is>
      </c>
      <c r="D42" s="485" t="inlineStr">
        <is>
          <t>②急ぎ案件の場合、道路状況も伝えてあげる。</t>
        </is>
      </c>
      <c r="E42" s="486" t="n"/>
      <c r="F42" s="486" t="n"/>
      <c r="G42" s="486" t="n"/>
      <c r="H42" s="486" t="n"/>
      <c r="I42" s="486" t="n"/>
      <c r="J42" s="466" t="n"/>
      <c r="L42" s="2" t="n"/>
    </row>
    <row r="43">
      <c r="B43" s="27" t="inlineStr">
        <is>
          <t>③</t>
        </is>
      </c>
      <c r="C43" s="449" t="inlineStr">
        <is>
          <t>西→東</t>
        </is>
      </c>
      <c r="D43" s="485" t="inlineStr">
        <is>
          <t>③各ドライバーの位置からの帰社のタイミング・夕方の配置</t>
        </is>
      </c>
      <c r="E43" s="486" t="n"/>
      <c r="F43" s="486" t="n"/>
      <c r="G43" s="486" t="n"/>
      <c r="H43" s="486" t="n"/>
      <c r="I43" s="486" t="n"/>
      <c r="J43" s="466" t="n"/>
      <c r="L43" s="2" t="n"/>
    </row>
    <row r="44">
      <c r="B44" s="27" t="inlineStr">
        <is>
          <t>④</t>
        </is>
      </c>
      <c r="C44" s="449" t="inlineStr">
        <is>
          <t>西→西</t>
        </is>
      </c>
      <c r="D44" s="485" t="inlineStr">
        <is>
          <t>④依頼を受ける際の、希望時間と現状の位置。行けるか行けないかの判断をしっかりと。</t>
        </is>
      </c>
      <c r="E44" s="486" t="n"/>
      <c r="F44" s="486" t="n"/>
      <c r="G44" s="486" t="n"/>
      <c r="H44" s="486" t="n"/>
      <c r="I44" s="486" t="n"/>
      <c r="J44" s="466" t="n"/>
      <c r="L44" s="2" t="n"/>
    </row>
    <row r="45">
      <c r="D45" s="485" t="inlineStr">
        <is>
          <t>⑤軽に乗るか乗らないかの判断に気を付ける。</t>
        </is>
      </c>
      <c r="E45" s="486" t="n"/>
      <c r="F45" s="486" t="n"/>
      <c r="G45" s="486" t="n"/>
      <c r="H45" s="486" t="n"/>
      <c r="I45" s="486" t="n"/>
      <c r="J45" s="466" t="n"/>
      <c r="L45" s="2" t="n"/>
    </row>
    <row r="46">
      <c r="B46" s="22" t="n"/>
      <c r="C46" s="420" t="inlineStr">
        <is>
          <t>現状配置(予測)</t>
        </is>
      </c>
      <c r="D46" s="485" t="inlineStr">
        <is>
          <t>⑥18/1日、1.8/1人、3件/1人</t>
        </is>
      </c>
      <c r="E46" s="486" t="n"/>
      <c r="F46" s="486" t="n"/>
      <c r="G46" s="486" t="n"/>
      <c r="H46" s="486" t="n"/>
      <c r="I46" s="486" t="n"/>
      <c r="J46" s="466" t="n"/>
      <c r="L46" s="2" t="n"/>
    </row>
    <row r="47">
      <c r="B47" s="420" t="inlineStr">
        <is>
          <t>西(神戸西・弥栄台)</t>
        </is>
      </c>
      <c r="C47" s="420" t="n"/>
      <c r="D47" s="485" t="inlineStr">
        <is>
          <t>⑦依頼書の見落とし(日付、入替、入出庫、場所）</t>
        </is>
      </c>
      <c r="E47" s="486" t="n"/>
      <c r="F47" s="486" t="n"/>
      <c r="G47" s="486" t="n"/>
      <c r="H47" s="486" t="n"/>
      <c r="I47" s="486" t="n"/>
      <c r="J47" s="466" t="n"/>
      <c r="L47" s="2" t="n"/>
    </row>
    <row r="48">
      <c r="B48" s="420" t="inlineStr">
        <is>
          <t>真ん中(摩耶・中央)</t>
        </is>
      </c>
      <c r="C48" s="420" t="n"/>
      <c r="D48" s="485" t="inlineStr">
        <is>
          <t>⑧3ｔ車と2ｔ車への振り方(西と東に振り分ける)</t>
        </is>
      </c>
      <c r="E48" s="486" t="n"/>
      <c r="F48" s="486" t="n"/>
      <c r="G48" s="486" t="n"/>
      <c r="H48" s="486" t="n"/>
      <c r="I48" s="486" t="n"/>
      <c r="J48" s="466" t="n"/>
      <c r="L48" s="2" t="n"/>
    </row>
    <row r="49">
      <c r="B49" s="420" t="inlineStr">
        <is>
          <t>東(尼崎・伊丹・西宮)</t>
        </is>
      </c>
      <c r="C49" s="420" t="n"/>
      <c r="D49" s="485" t="inlineStr">
        <is>
          <t>⑨</t>
        </is>
      </c>
      <c r="E49" s="486" t="n"/>
      <c r="F49" s="486" t="n"/>
      <c r="G49" s="486" t="n"/>
      <c r="H49" s="486" t="n"/>
      <c r="I49" s="486" t="n"/>
      <c r="J49" s="466" t="n"/>
      <c r="L49" s="2" t="n"/>
    </row>
    <row r="50">
      <c r="B50" s="48" t="inlineStr">
        <is>
          <t>極東(港区・淀屋橋)</t>
        </is>
      </c>
      <c r="C50" s="420" t="n"/>
      <c r="D50" s="49" t="n"/>
      <c r="E50" s="49" t="n"/>
      <c r="F50" s="49" t="n"/>
      <c r="G50" s="49" t="n"/>
      <c r="H50" s="49" t="n"/>
      <c r="I50" s="49" t="n"/>
      <c r="J50" s="49" t="n"/>
      <c r="L50" s="2" t="n"/>
    </row>
    <row r="51" ht="14.25" customHeight="1" s="462" thickBot="1">
      <c r="L51" s="2" t="n"/>
    </row>
    <row r="52">
      <c r="C52" s="473" t="inlineStr">
        <is>
          <t>合計額/380</t>
        </is>
      </c>
      <c r="D52" s="358">
        <f>SUM(G52)</f>
        <v/>
      </c>
      <c r="F52" s="360" t="inlineStr">
        <is>
          <t>売り上げ額</t>
        </is>
      </c>
      <c r="G52" s="362">
        <f>SUM(K4:K18)+SUM('6　12 (2)'!K4:K37)</f>
        <v/>
      </c>
      <c r="H52" s="465" t="n"/>
      <c r="I52" s="465" t="n"/>
      <c r="J52" s="467" t="n"/>
      <c r="L52" s="2" t="n"/>
    </row>
    <row r="53" ht="14.25" customHeight="1" s="462" thickBot="1">
      <c r="C53" s="474" t="n"/>
      <c r="D53" s="475" t="n"/>
      <c r="F53" s="468" t="n"/>
      <c r="G53" s="476" t="n"/>
      <c r="H53" s="477" t="n"/>
      <c r="I53" s="477" t="n"/>
      <c r="J53" s="469" t="n"/>
      <c r="L53" s="2" t="n"/>
    </row>
    <row r="54">
      <c r="C54" s="478" t="inlineStr">
        <is>
          <t>前日までの売上合計額</t>
        </is>
      </c>
      <c r="D54" s="479">
        <f>SUM('6　11 '!D52:D53)</f>
        <v/>
      </c>
      <c r="L54" s="2" t="n"/>
    </row>
    <row r="55" ht="14.25" customHeight="1" s="462" thickBot="1">
      <c r="C55" s="480" t="n"/>
      <c r="D55" s="480" t="n"/>
      <c r="F55" s="420" t="inlineStr">
        <is>
          <t>金井（55)</t>
        </is>
      </c>
      <c r="G55" s="345" t="n"/>
      <c r="H55" s="466" t="n"/>
      <c r="I55" s="130" t="n"/>
      <c r="L55" s="2" t="n"/>
    </row>
    <row r="56" ht="14.25" customHeight="1" s="462" thickTop="1">
      <c r="D56" s="346">
        <f>D52+D54</f>
        <v/>
      </c>
      <c r="F56" s="420" t="inlineStr">
        <is>
          <t>粟津(55)</t>
        </is>
      </c>
      <c r="G56" s="340" t="n"/>
      <c r="H56" s="466" t="n"/>
      <c r="I56" s="131" t="n"/>
      <c r="L56" s="2" t="n"/>
    </row>
    <row r="57">
      <c r="F57" s="420" t="inlineStr">
        <is>
          <t>砂川(50)</t>
        </is>
      </c>
      <c r="G57" s="340" t="n"/>
      <c r="H57" s="466" t="n"/>
      <c r="I57" s="131" t="n"/>
      <c r="L57" s="2" t="n"/>
    </row>
    <row r="58">
      <c r="C58" s="2" t="inlineStr">
        <is>
          <t>高代</t>
        </is>
      </c>
      <c r="F58" s="420" t="inlineStr">
        <is>
          <t>前川(50)</t>
        </is>
      </c>
      <c r="G58" s="340" t="n"/>
      <c r="H58" s="466" t="n"/>
      <c r="I58" s="131" t="n"/>
      <c r="L58" s="2" t="n"/>
    </row>
    <row r="59">
      <c r="C59" s="2" t="inlineStr">
        <is>
          <t>返還代</t>
        </is>
      </c>
      <c r="F59" s="420" t="inlineStr">
        <is>
          <t>佐藤(50)</t>
        </is>
      </c>
      <c r="G59" s="345" t="n"/>
      <c r="H59" s="466" t="n"/>
      <c r="I59" s="130" t="n"/>
      <c r="L59" s="2" t="n"/>
    </row>
    <row r="60">
      <c r="C60" s="2" t="inlineStr">
        <is>
          <t>回収率</t>
        </is>
      </c>
      <c r="D60" s="50">
        <f>D59/D58</f>
        <v/>
      </c>
      <c r="F60" s="420" t="inlineStr">
        <is>
          <t>末次(55)</t>
        </is>
      </c>
      <c r="G60" s="340" t="n"/>
      <c r="H60" s="466" t="n"/>
      <c r="I60" s="131" t="n"/>
      <c r="L60" s="2" t="n"/>
    </row>
    <row r="61">
      <c r="C61" s="2" t="inlineStr">
        <is>
          <t>費</t>
        </is>
      </c>
      <c r="D61" s="2">
        <f>D58-D59</f>
        <v/>
      </c>
      <c r="F61" s="420" t="inlineStr">
        <is>
          <t>筒井(75)</t>
        </is>
      </c>
      <c r="G61" s="340" t="n"/>
      <c r="H61" s="466" t="n"/>
      <c r="I61" s="131" t="n"/>
      <c r="L61" s="2" t="n"/>
    </row>
    <row r="62">
      <c r="F62" s="420" t="inlineStr">
        <is>
          <t>山岸(40)</t>
        </is>
      </c>
      <c r="G62" s="340" t="n"/>
      <c r="H62" s="466" t="n"/>
      <c r="I62" s="131" t="n"/>
      <c r="L62" s="2" t="n"/>
    </row>
    <row r="63" ht="17.25" customHeight="1" s="462">
      <c r="B63" s="71" t="n"/>
      <c r="F63" s="420" t="inlineStr">
        <is>
          <t>多苗(30)</t>
        </is>
      </c>
      <c r="G63" s="340" t="n"/>
      <c r="H63" s="466" t="n"/>
      <c r="I63" s="131" t="n"/>
      <c r="L63" s="2" t="inlineStr">
        <is>
          <t> </t>
        </is>
      </c>
    </row>
    <row r="64">
      <c r="L64" s="2" t="n"/>
    </row>
    <row r="65">
      <c r="L65" s="2" t="n"/>
    </row>
    <row r="67" ht="23.25" customHeight="1" s="462"/>
  </sheetData>
  <autoFilter ref="H1:H25"/>
  <mergeCells count="50">
    <mergeCell ref="G59:H59"/>
    <mergeCell ref="G52:J53"/>
    <mergeCell ref="K26:K27"/>
    <mergeCell ref="E24:F24"/>
    <mergeCell ref="K21:K22"/>
    <mergeCell ref="D52:D53"/>
    <mergeCell ref="E23:F23"/>
    <mergeCell ref="M5:N5"/>
    <mergeCell ref="D42:J42"/>
    <mergeCell ref="G61:H61"/>
    <mergeCell ref="C54:C55"/>
    <mergeCell ref="E35:F35"/>
    <mergeCell ref="H23:J24"/>
    <mergeCell ref="B2:C2"/>
    <mergeCell ref="E38:F38"/>
    <mergeCell ref="E29:F29"/>
    <mergeCell ref="D44:J44"/>
    <mergeCell ref="H26:J27"/>
    <mergeCell ref="D56:D57"/>
    <mergeCell ref="G57:H57"/>
    <mergeCell ref="E28:F28"/>
    <mergeCell ref="G62:H62"/>
    <mergeCell ref="M16:N16"/>
    <mergeCell ref="E34:F34"/>
    <mergeCell ref="H21:J22"/>
    <mergeCell ref="D46:J46"/>
    <mergeCell ref="C52:C53"/>
    <mergeCell ref="K23:K24"/>
    <mergeCell ref="D45:J45"/>
    <mergeCell ref="F52:F53"/>
    <mergeCell ref="E27:F27"/>
    <mergeCell ref="G58:H58"/>
    <mergeCell ref="M18:N18"/>
    <mergeCell ref="M3:N3"/>
    <mergeCell ref="E26:F26"/>
    <mergeCell ref="D49:J49"/>
    <mergeCell ref="D54:D55"/>
    <mergeCell ref="G55:H55"/>
    <mergeCell ref="D41:J41"/>
    <mergeCell ref="D48:J48"/>
    <mergeCell ref="E25:F25"/>
    <mergeCell ref="G63:H63"/>
    <mergeCell ref="D47:J47"/>
    <mergeCell ref="E37:F37"/>
    <mergeCell ref="E22:F22"/>
    <mergeCell ref="G60:H60"/>
    <mergeCell ref="D43:J43"/>
    <mergeCell ref="M4:N4"/>
    <mergeCell ref="G56:H56"/>
    <mergeCell ref="E21:F21"/>
  </mergeCells>
  <conditionalFormatting sqref="L4:L18">
    <cfRule type="cellIs" priority="3" operator="greaterThan" dxfId="0">
      <formula>30</formula>
    </cfRule>
  </conditionalFormatting>
  <conditionalFormatting sqref="K23:K2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D5:D26">
    <cfRule type="containsText" priority="4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55" horizontalDpi="1200" verticalDpi="1200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R86"/>
  <sheetViews>
    <sheetView topLeftCell="A22" zoomScale="70" zoomScaleNormal="70" workbookViewId="0">
      <selection activeCell="K32" sqref="K32:K35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2.625" bestFit="1" customWidth="1" style="2" min="3" max="3"/>
    <col width="21.25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10"/>
    <col width="15.25" customWidth="1" style="2" min="11" max="11"/>
    <col outlineLevel="1" width="20.25" customWidth="1" style="77" min="12" max="12"/>
    <col width="8.75" customWidth="1" style="2" min="13" max="16384"/>
  </cols>
  <sheetData>
    <row r="1">
      <c r="G1" s="326" t="n"/>
    </row>
    <row r="2" ht="15" customHeight="1" s="462" thickBot="1">
      <c r="B2" s="488" t="n">
        <v>46185</v>
      </c>
      <c r="C2" s="463" t="n"/>
      <c r="D2" s="2" t="inlineStr">
        <is>
          <t>NO.2</t>
        </is>
      </c>
      <c r="G2" s="326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327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inlineStr">
        <is>
          <t>森本：講習
山原：AM</t>
        </is>
      </c>
      <c r="C4" s="76" t="inlineStr">
        <is>
          <t>郡司：10時出勤
坂本：休み</t>
        </is>
      </c>
      <c r="D4" s="51" t="n"/>
      <c r="E4" s="52" t="n"/>
      <c r="F4" s="52" t="n"/>
      <c r="G4" s="328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40.5" customHeight="1" s="462">
      <c r="A5" s="423">
        <f>IF(H5="","",COUNTA($H$5:H5))</f>
        <v/>
      </c>
      <c r="B5" s="57" t="n"/>
      <c r="C5" s="63" t="n"/>
      <c r="D5" s="246" t="n"/>
      <c r="E5" s="441" t="n"/>
      <c r="F5" s="274" t="n"/>
      <c r="G5" s="303" t="n"/>
      <c r="H5" s="260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39.75" customHeight="1" s="462">
      <c r="A6" s="423">
        <f>IF(H6="","",COUNTA($H$5:H6))</f>
        <v/>
      </c>
      <c r="B6" s="57" t="n"/>
      <c r="C6" s="441" t="n"/>
      <c r="D6" s="63" t="n"/>
      <c r="E6" s="64" t="n"/>
      <c r="F6" s="57" t="n"/>
      <c r="G6" s="302" t="n"/>
      <c r="H6" s="260" t="n"/>
      <c r="I6" s="295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48.75" customHeight="1" s="462">
      <c r="A7" s="423">
        <f>IF(H7="","",COUNTA($H$5:H7))</f>
        <v/>
      </c>
      <c r="B7" s="57" t="n"/>
      <c r="C7" s="441" t="n"/>
      <c r="D7" s="63" t="n"/>
      <c r="E7" s="64" t="n"/>
      <c r="F7" s="57" t="n"/>
      <c r="G7" s="302" t="n"/>
      <c r="H7" s="260" t="n"/>
      <c r="I7" s="295" t="n"/>
      <c r="J7" s="57" t="n"/>
      <c r="K7" s="72" t="n"/>
      <c r="L7" s="61" t="n"/>
      <c r="M7" s="449" t="n"/>
      <c r="N7" s="449" t="n"/>
      <c r="O7" s="449" t="n"/>
      <c r="P7" s="449" t="n"/>
      <c r="Q7" s="449" t="n"/>
      <c r="R7" s="449" t="n"/>
    </row>
    <row r="8" ht="36" customHeight="1" s="462">
      <c r="A8" s="423">
        <f>IF(H8="","",COUNTA($H$5:H8))</f>
        <v/>
      </c>
      <c r="B8" s="57" t="n"/>
      <c r="C8" s="64" t="n"/>
      <c r="D8" s="63" t="n"/>
      <c r="E8" s="441" t="n"/>
      <c r="F8" s="57" t="n"/>
      <c r="G8" s="188" t="n"/>
      <c r="H8" s="260" t="n"/>
      <c r="I8" s="295">
        <f>IFERROR(_xlfn.XLOOKUP(H8,案件・ドライバー一覧!$L$3:$L$17,案件・ドライバー一覧!$M$3:$M$17,""),"")</f>
        <v/>
      </c>
      <c r="J8" s="57" t="n"/>
      <c r="K8" s="72" t="n"/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IF(H9="","",COUNTA($H$5:H9))</f>
        <v/>
      </c>
      <c r="B9" s="57" t="n"/>
      <c r="C9" s="441" t="n"/>
      <c r="D9" s="63" t="n"/>
      <c r="E9" s="441" t="n"/>
      <c r="F9" s="274" t="n"/>
      <c r="G9" s="305" t="n"/>
      <c r="H9" s="260" t="n"/>
      <c r="I9" s="295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IF(H10="","",COUNTA($H$5:H10))</f>
        <v/>
      </c>
      <c r="B10" s="57" t="n"/>
      <c r="C10" s="441" t="n"/>
      <c r="D10" s="63" t="n"/>
      <c r="E10" s="64" t="n"/>
      <c r="F10" s="274" t="n"/>
      <c r="G10" s="305" t="n"/>
      <c r="H10" s="260" t="n"/>
      <c r="I10" s="295" t="n"/>
      <c r="J10" s="57" t="n"/>
      <c r="K10" s="73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</row>
    <row r="11" ht="28.5" customHeight="1" s="462">
      <c r="A11" s="423">
        <f>IF(H11="","",COUNTA($H$5:H11))</f>
        <v/>
      </c>
      <c r="B11" s="441" t="n"/>
      <c r="C11" s="440" t="n"/>
      <c r="D11" s="441" t="n"/>
      <c r="E11" s="440" t="n"/>
      <c r="F11" s="57" t="n"/>
      <c r="G11" s="302" t="n"/>
      <c r="H11" s="260" t="n"/>
      <c r="I11" s="296">
        <f>IFERROR(_xlfn.XLOOKUP(H11,案件・ドライバー一覧!$L$3:$L$17,案件・ドライバー一覧!$M$3:$M$17,""),"")</f>
        <v/>
      </c>
      <c r="J11" s="420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</row>
    <row r="12" ht="28.5" customHeight="1" s="462">
      <c r="A12" s="423" t="n"/>
      <c r="B12" s="441" t="n"/>
      <c r="C12" s="440" t="n"/>
      <c r="D12" s="441" t="n"/>
      <c r="E12" s="441" t="n"/>
      <c r="F12" s="57" t="n"/>
      <c r="G12" s="302" t="n"/>
      <c r="H12" s="260" t="n"/>
      <c r="I12" s="295" t="n"/>
      <c r="J12" s="57" t="n"/>
      <c r="K12" s="72" t="n"/>
      <c r="L12" s="61" t="n"/>
      <c r="M12" s="449" t="n"/>
      <c r="N12" s="449" t="n"/>
      <c r="O12" s="449" t="n"/>
      <c r="P12" s="449" t="n"/>
      <c r="Q12" s="449" t="n"/>
      <c r="R12" s="449" t="n"/>
    </row>
    <row r="13" ht="28.5" customHeight="1" s="462">
      <c r="A13" s="423">
        <f>IF(H13="","",COUNTA($H$5:H13))</f>
        <v/>
      </c>
      <c r="B13" s="57" t="n"/>
      <c r="C13" s="62" t="n"/>
      <c r="D13" s="441" t="n"/>
      <c r="E13" s="441" t="n"/>
      <c r="F13" s="57" t="n"/>
      <c r="G13" s="302" t="n"/>
      <c r="H13" s="260" t="n"/>
      <c r="I13" s="295">
        <f>IFERROR(_xlfn.XLOOKUP(H13,案件・ドライバー一覧!$L$3:$L$17,案件・ドライバー一覧!$M$3:$M$17,""),"")</f>
        <v/>
      </c>
      <c r="J13" s="57" t="n"/>
      <c r="K13" s="72" t="n"/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IF(H14="","",COUNTA($H$5:H14))</f>
        <v/>
      </c>
      <c r="B14" s="57" t="n"/>
      <c r="C14" s="63" t="n"/>
      <c r="D14" s="441" t="n"/>
      <c r="E14" s="441" t="n"/>
      <c r="F14" s="57" t="n"/>
      <c r="G14" s="305" t="n"/>
      <c r="H14" s="260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IF(H15="","",COUNTA($H$5:H15))</f>
        <v/>
      </c>
      <c r="B15" s="57" t="n"/>
      <c r="C15" s="63" t="n"/>
      <c r="D15" s="441" t="n"/>
      <c r="E15" s="441" t="n"/>
      <c r="F15" s="57" t="n"/>
      <c r="G15" s="134" t="n"/>
      <c r="H15" s="260" t="n"/>
      <c r="I15" s="295">
        <f>IFERROR(_xlfn.XLOOKUP(H15,案件・ドライバー一覧!$L$3:$L$17,案件・ドライバー一覧!$M$3:$M$17,""),"")</f>
        <v/>
      </c>
      <c r="J15" s="57" t="n"/>
      <c r="K15" s="72" t="n"/>
      <c r="L15" s="61" t="n"/>
      <c r="M15" s="449" t="n"/>
      <c r="N15" s="449" t="n"/>
      <c r="O15" s="449" t="n"/>
      <c r="P15" s="449" t="n"/>
      <c r="Q15" s="449" t="n"/>
      <c r="R15" s="449" t="n"/>
    </row>
    <row r="16" ht="36" customHeight="1" s="462">
      <c r="A16" s="423">
        <f>IF(H16="","",COUNTA($H$5:H16))</f>
        <v/>
      </c>
      <c r="B16" s="57" t="n"/>
      <c r="C16" s="62" t="n"/>
      <c r="D16" s="273" t="n"/>
      <c r="E16" s="441" t="n"/>
      <c r="F16" s="274" t="n"/>
      <c r="G16" s="303" t="n"/>
      <c r="H16" s="260" t="n"/>
      <c r="I16" s="295">
        <f>IFERROR(_xlfn.XLOOKUP(H16,案件・ドライバー一覧!$L$3:$L$17,案件・ドライバー一覧!$M$3:$M$17,""),"")</f>
        <v/>
      </c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40.5" customHeight="1" s="462">
      <c r="A17" s="423">
        <f>IF(H17="","",COUNTA($H$5:H17))</f>
        <v/>
      </c>
      <c r="B17" s="57" t="n"/>
      <c r="C17" s="63" t="n"/>
      <c r="D17" s="441" t="n"/>
      <c r="E17" s="441" t="n"/>
      <c r="F17" s="57" t="n"/>
      <c r="G17" s="302" t="n"/>
      <c r="H17" s="260" t="n"/>
      <c r="I17" s="295">
        <f>IFERROR(_xlfn.XLOOKUP(H17,案件・ドライバー一覧!$L$3:$L$17,案件・ドライバー一覧!$M$3:$M$17,""),"")</f>
        <v/>
      </c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IF(H18="","",COUNTA($H$5:H18))</f>
        <v/>
      </c>
      <c r="B18" s="57" t="n"/>
      <c r="C18" s="63" t="n"/>
      <c r="D18" s="441" t="n"/>
      <c r="E18" s="259" t="n"/>
      <c r="F18" s="57" t="n"/>
      <c r="G18" s="303" t="n"/>
      <c r="H18" s="260" t="n"/>
      <c r="I18" s="295">
        <f>IFERROR(_xlfn.XLOOKUP(H18,案件・ドライバー一覧!$L$3:$L$17,案件・ドライバー一覧!$M$3:$M$17,""),"")</f>
        <v/>
      </c>
      <c r="J18" s="57" t="n"/>
      <c r="K18" s="72" t="n"/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IF(H19="","",COUNTA($H$5:H19))</f>
        <v/>
      </c>
      <c r="B19" s="57" t="n"/>
      <c r="C19" s="441" t="n"/>
      <c r="D19" s="441" t="n"/>
      <c r="E19" s="441" t="n"/>
      <c r="F19" s="57" t="n"/>
      <c r="G19" s="303" t="n"/>
      <c r="H19" s="260" t="n"/>
      <c r="I19" s="295" t="n"/>
      <c r="J19" s="57" t="n"/>
      <c r="K19" s="72" t="n"/>
      <c r="L19" s="61" t="n"/>
      <c r="M19" s="449" t="n"/>
      <c r="N19" s="449" t="n"/>
      <c r="O19" s="449" t="n"/>
      <c r="P19" s="449" t="n"/>
      <c r="Q19" s="449" t="n"/>
      <c r="R19" s="449" t="n"/>
    </row>
    <row r="20" ht="27" customHeight="1" s="462">
      <c r="A20" s="423" t="n"/>
      <c r="B20" s="57" t="n"/>
      <c r="C20" s="420" t="n"/>
      <c r="D20" s="63" t="n"/>
      <c r="E20" s="441" t="n"/>
      <c r="F20" s="274" t="n"/>
      <c r="G20" s="65" t="n"/>
      <c r="H20" s="260" t="n"/>
      <c r="I20" s="295" t="n"/>
      <c r="J20" s="57" t="n"/>
      <c r="K20" s="72" t="n"/>
      <c r="L20" s="61" t="n"/>
      <c r="M20" s="449" t="n"/>
      <c r="N20" s="449" t="n"/>
      <c r="O20" s="449" t="n"/>
      <c r="P20" s="449" t="n"/>
      <c r="Q20" s="449" t="n"/>
      <c r="R20" s="449" t="n"/>
    </row>
    <row r="21" ht="27" customHeight="1" s="462">
      <c r="A21" s="423">
        <f>IF(H21="","",COUNTA($H$5:H21))</f>
        <v/>
      </c>
      <c r="B21" s="57" t="n"/>
      <c r="C21" s="441" t="n"/>
      <c r="D21" s="63" t="n"/>
      <c r="E21" s="63" t="n"/>
      <c r="F21" s="275" t="n"/>
      <c r="G21" s="302" t="n"/>
      <c r="H21" s="260" t="n"/>
      <c r="I21" s="427" t="n"/>
      <c r="J21" s="57" t="n"/>
      <c r="K21" s="72" t="n"/>
      <c r="L21" s="61" t="n"/>
      <c r="M21" s="449" t="n"/>
      <c r="N21" s="449" t="n"/>
      <c r="O21" s="449" t="n"/>
      <c r="P21" s="449" t="n"/>
      <c r="Q21" s="449" t="n"/>
      <c r="R21" s="449" t="n"/>
    </row>
    <row r="22" ht="27" customHeight="1" s="462">
      <c r="A22" s="423">
        <f>IF(H22="","",COUNTA($H$5:H22))</f>
        <v/>
      </c>
      <c r="B22" s="57" t="n"/>
      <c r="C22" s="63" t="n"/>
      <c r="D22" s="441" t="n"/>
      <c r="E22" s="441" t="n"/>
      <c r="F22" s="57" t="n"/>
      <c r="G22" s="302" t="n"/>
      <c r="H22" s="260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.75" customHeight="1" s="462">
      <c r="A23" s="423">
        <f>IF(H23="","",COUNTA($H$5:H23))</f>
        <v/>
      </c>
      <c r="B23" s="441" t="n"/>
      <c r="C23" s="440" t="n"/>
      <c r="D23" s="441" t="n"/>
      <c r="E23" s="441" t="n"/>
      <c r="F23" s="275" t="n"/>
      <c r="G23" s="302" t="n"/>
      <c r="H23" s="260" t="n"/>
      <c r="I23" s="295">
        <f>IFERROR(_xlfn.XLOOKUP(H23,案件・ドライバー一覧!$L$3:$L$17,案件・ドライバー一覧!$M$3:$M$17,""),"")</f>
        <v/>
      </c>
      <c r="J23" s="57" t="n"/>
      <c r="K23" s="72" t="n"/>
      <c r="L23" s="61" t="n"/>
      <c r="M23" s="449" t="n"/>
      <c r="N23" s="449" t="n"/>
      <c r="O23" s="449" t="n"/>
      <c r="P23" s="449" t="n"/>
      <c r="Q23" s="449" t="n"/>
      <c r="R23" s="449" t="n"/>
    </row>
    <row r="24" ht="40.5" customHeight="1" s="462">
      <c r="A24" s="423">
        <f>IF(H24="","",COUNTA($H$5:H24))</f>
        <v/>
      </c>
      <c r="B24" s="57" t="n"/>
      <c r="C24" s="63" t="n"/>
      <c r="D24" s="441" t="n"/>
      <c r="E24" s="441" t="n"/>
      <c r="F24" s="57" t="n"/>
      <c r="G24" s="303" t="n"/>
      <c r="H24" s="260" t="n"/>
      <c r="I24" s="427" t="n"/>
      <c r="J24" s="57" t="n"/>
      <c r="K24" s="72" t="n"/>
      <c r="L24" s="61" t="n"/>
      <c r="M24" s="449" t="n"/>
      <c r="N24" s="449" t="n"/>
      <c r="O24" s="449" t="n"/>
      <c r="P24" s="449" t="n"/>
      <c r="Q24" s="449" t="n"/>
      <c r="R24" s="449" t="n"/>
    </row>
    <row r="25" ht="54" customHeight="1" s="462">
      <c r="A25" s="423">
        <f>IF(H25="","",COUNTA($H$5:H25))</f>
        <v/>
      </c>
      <c r="B25" s="441" t="n"/>
      <c r="C25" s="440" t="n"/>
      <c r="D25" s="441" t="n"/>
      <c r="E25" s="259" t="n"/>
      <c r="F25" s="57" t="n"/>
      <c r="G25" s="302" t="n"/>
      <c r="H25" s="260" t="n"/>
      <c r="I25" s="295">
        <f>IFERROR(_xlfn.XLOOKUP(H25,案件・ドライバー一覧!$L$3:$L$17,案件・ドライバー一覧!$M$3:$M$17,""),"")</f>
        <v/>
      </c>
      <c r="J25" s="57" t="n"/>
      <c r="K25" s="72" t="n"/>
      <c r="L25" s="61" t="n"/>
      <c r="M25" s="449" t="n"/>
      <c r="N25" s="449" t="n"/>
      <c r="O25" s="449" t="n"/>
      <c r="P25" s="449" t="n"/>
      <c r="Q25" s="449" t="n"/>
      <c r="R25" s="449" t="n"/>
    </row>
    <row r="26" ht="36" customHeight="1" s="462">
      <c r="A26" s="423">
        <f>IF(H26="","",COUNTA($H$5:H26))</f>
        <v/>
      </c>
      <c r="B26" s="57" t="n"/>
      <c r="C26" s="63" t="n"/>
      <c r="D26" s="64" t="n"/>
      <c r="E26" s="64" t="n"/>
      <c r="F26" s="275" t="n"/>
      <c r="G26" s="302" t="n"/>
      <c r="H26" s="260" t="n"/>
      <c r="I26" s="427" t="n"/>
      <c r="J26" s="57" t="n"/>
      <c r="K26" s="73" t="n"/>
      <c r="L26" s="61" t="n"/>
      <c r="M26" s="449" t="n"/>
      <c r="N26" s="449" t="n"/>
      <c r="O26" s="449" t="n"/>
      <c r="P26" s="449" t="n"/>
      <c r="Q26" s="449" t="n"/>
    </row>
    <row r="27" ht="40.5" customHeight="1" s="462">
      <c r="A27" s="423">
        <f>IF(H27="","",COUNTA($H$5:H27))</f>
        <v/>
      </c>
      <c r="B27" s="420" t="n"/>
      <c r="C27" s="63" t="n"/>
      <c r="D27" s="62" t="n"/>
      <c r="E27" s="63" t="n"/>
      <c r="F27" s="275" t="n"/>
      <c r="G27" s="302" t="n"/>
      <c r="H27" s="260" t="n"/>
      <c r="I27" s="438" t="n"/>
      <c r="J27" s="420" t="n"/>
      <c r="K27" s="73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</row>
    <row r="28" ht="30.75" customHeight="1" s="462">
      <c r="A28" s="423">
        <f>IF(H28="","",COUNTA($H$5:H28))</f>
        <v/>
      </c>
      <c r="B28" s="57" t="n"/>
      <c r="C28" s="63" t="n"/>
      <c r="D28" s="63" t="n"/>
      <c r="E28" s="441" t="n"/>
      <c r="F28" s="57" t="n"/>
      <c r="G28" s="302" t="n"/>
      <c r="H28" s="260" t="n"/>
      <c r="I28" s="295">
        <f>IFERROR(_xlfn.XLOOKUP(H28,案件・ドライバー一覧!$L$3:$L$17,案件・ドライバー一覧!$M$3:$M$17,""),"")</f>
        <v/>
      </c>
      <c r="J28" s="57" t="n"/>
      <c r="K28" s="72" t="n"/>
      <c r="L28" s="61" t="n"/>
      <c r="M28" s="449" t="n"/>
      <c r="N28" s="449" t="n"/>
      <c r="O28" s="449" t="n"/>
      <c r="P28" s="449" t="n"/>
      <c r="Q28" s="449" t="n"/>
    </row>
    <row r="29" ht="48" customHeight="1" s="462">
      <c r="A29" s="423">
        <f>IF(H29="","",COUNTA($H$5:H29))</f>
        <v/>
      </c>
      <c r="B29" s="57" t="n"/>
      <c r="C29" s="64" t="n"/>
      <c r="D29" s="63" t="n"/>
      <c r="E29" s="441" t="n"/>
      <c r="F29" s="57" t="n"/>
      <c r="G29" s="302" t="n"/>
      <c r="H29" s="260" t="n"/>
      <c r="I29" s="427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</row>
    <row r="30" ht="27" customHeight="1" s="462">
      <c r="A30" s="423">
        <f>IF(H30="","",COUNTA($H$5:H30))</f>
        <v/>
      </c>
      <c r="B30" s="57" t="n"/>
      <c r="C30" s="441" t="n"/>
      <c r="D30" s="63" t="n"/>
      <c r="E30" s="441" t="n"/>
      <c r="F30" s="274" t="n"/>
      <c r="G30" s="302" t="n"/>
      <c r="H30" s="260" t="n"/>
      <c r="I30" s="427" t="n"/>
      <c r="J30" s="57" t="n"/>
      <c r="K30" s="72" t="n"/>
      <c r="L30" s="61" t="n"/>
      <c r="M30" s="449" t="n"/>
      <c r="N30" s="449" t="n"/>
      <c r="O30" s="449" t="n"/>
      <c r="P30" s="449" t="n"/>
      <c r="Q30" s="449" t="n"/>
      <c r="R30" s="449" t="n"/>
    </row>
    <row r="31" ht="27" customHeight="1" s="462">
      <c r="A31" s="423">
        <f>IF(H31="","",COUNTA($H$5:H35))</f>
        <v/>
      </c>
      <c r="B31" s="441" t="n"/>
      <c r="C31" s="63" t="n"/>
      <c r="D31" s="441" t="n"/>
      <c r="E31" s="441" t="n"/>
      <c r="F31" s="57" t="n"/>
      <c r="G31" s="59" t="n"/>
      <c r="H31" s="260" t="n"/>
      <c r="I31" s="427" t="n"/>
      <c r="J31" s="57" t="n"/>
      <c r="K31" s="73" t="n"/>
      <c r="L31" s="61" t="n"/>
      <c r="M31" s="449" t="n"/>
      <c r="N31" s="449" t="n"/>
      <c r="O31" s="449" t="n"/>
      <c r="P31" s="449" t="n"/>
      <c r="Q31" s="449" t="n"/>
      <c r="R31" s="449" t="n"/>
    </row>
    <row r="32" ht="44.25" customHeight="1" s="462">
      <c r="A32" s="423">
        <f>IF(H32="","",COUNTA($H$5:H32))</f>
        <v/>
      </c>
      <c r="B32" s="57" t="n"/>
      <c r="C32" s="441" t="n"/>
      <c r="D32" s="441" t="n"/>
      <c r="E32" s="441" t="n"/>
      <c r="F32" s="57" t="n"/>
      <c r="G32" s="302" t="n"/>
      <c r="H32" s="260" t="n"/>
      <c r="I32" s="295">
        <f>IFERROR(_xlfn.XLOOKUP(H32,案件・ドライバー一覧!$L$3:$L$17,案件・ドライバー一覧!$M$3:$M$17,""),"")</f>
        <v/>
      </c>
      <c r="J32" s="57" t="n"/>
      <c r="K32" s="72" t="n"/>
      <c r="L32" s="61" t="n"/>
      <c r="M32" s="449" t="n"/>
      <c r="N32" s="449" t="n"/>
      <c r="O32" s="449" t="n"/>
      <c r="P32" s="449" t="n"/>
      <c r="Q32" s="449" t="n"/>
      <c r="R32" s="449" t="n"/>
    </row>
    <row r="33" ht="40.5" customHeight="1" s="462">
      <c r="A33" s="423">
        <f>IF(H33="","",COUNTA($H$5:H33))</f>
        <v/>
      </c>
      <c r="B33" s="57" t="n"/>
      <c r="C33" s="441" t="n"/>
      <c r="D33" s="63" t="n"/>
      <c r="E33" s="441" t="n"/>
      <c r="F33" s="275" t="n"/>
      <c r="G33" s="302" t="n"/>
      <c r="H33" s="260" t="n"/>
      <c r="I33" s="295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  <c r="O33" s="449" t="n"/>
      <c r="P33" s="449" t="n"/>
      <c r="Q33" s="449" t="n"/>
      <c r="R33" s="449" t="n"/>
    </row>
    <row r="34" ht="48" customHeight="1" s="462">
      <c r="A34" s="423">
        <f>IF(H34="","",COUNTA($H$5:H34))</f>
        <v/>
      </c>
      <c r="B34" s="57" t="n"/>
      <c r="C34" s="62" t="n"/>
      <c r="D34" s="441" t="n"/>
      <c r="E34" s="441" t="n"/>
      <c r="F34" s="274" t="n"/>
      <c r="G34" s="303" t="n"/>
      <c r="H34" s="260" t="n"/>
      <c r="I34" s="427" t="n"/>
      <c r="J34" s="57" t="n"/>
      <c r="K34" s="72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M34" s="449" t="n"/>
      <c r="N34" s="449" t="n"/>
      <c r="O34" s="449" t="n"/>
      <c r="P34" s="449" t="n"/>
      <c r="Q34" s="449" t="n"/>
      <c r="R34" s="449" t="n"/>
    </row>
    <row r="35" ht="40.5" customHeight="1" s="462">
      <c r="A35" s="423">
        <f>IF(H35="","",COUNTA($H$5:H35))</f>
        <v/>
      </c>
      <c r="B35" s="63" t="n"/>
      <c r="C35" s="63" t="n"/>
      <c r="D35" s="63" t="n"/>
      <c r="E35" s="63" t="n"/>
      <c r="F35" s="57" t="n"/>
      <c r="G35" s="334" t="n"/>
      <c r="H35" s="260" t="n"/>
      <c r="I35" s="438" t="n"/>
      <c r="J35" s="420" t="n"/>
      <c r="K35" s="73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M35" s="449" t="n"/>
      <c r="N35" s="449" t="n"/>
      <c r="O35" s="449" t="n"/>
      <c r="P35" s="449" t="n"/>
      <c r="Q35" s="449" t="n"/>
      <c r="R35" s="449" t="n"/>
    </row>
    <row r="36" ht="27" customHeight="1" s="462">
      <c r="A36" s="423">
        <f>IF(H36="","",COUNTA($H$5:H36))</f>
        <v/>
      </c>
      <c r="B36" s="441" t="n"/>
      <c r="C36" s="63" t="n"/>
      <c r="D36" s="440" t="n"/>
      <c r="E36" s="441" t="n"/>
      <c r="F36" s="57" t="n"/>
      <c r="G36" s="305" t="n"/>
      <c r="H36" s="438" t="n"/>
      <c r="I36" s="427" t="n"/>
      <c r="J36" s="57" t="n"/>
      <c r="K36" s="73" t="n"/>
      <c r="L36" s="61" t="n"/>
      <c r="M36" s="449" t="n"/>
      <c r="N36" s="449" t="n"/>
      <c r="O36" s="449" t="n"/>
      <c r="P36" s="449" t="n"/>
      <c r="Q36" s="449" t="n"/>
      <c r="R36" s="449" t="n"/>
    </row>
    <row r="37" ht="27" customHeight="1" s="462">
      <c r="A37" s="423">
        <f>IF(H37="","",COUNTA($H$5:H37))</f>
        <v/>
      </c>
      <c r="B37" s="420" t="n"/>
      <c r="C37" s="420" t="n"/>
      <c r="D37" s="420" t="n"/>
      <c r="E37" s="420" t="n"/>
      <c r="F37" s="420" t="n"/>
      <c r="G37" s="329" t="n"/>
      <c r="H37" s="70" t="n"/>
      <c r="I37" s="70" t="n"/>
      <c r="J37" s="420" t="n"/>
      <c r="K37" s="22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M37" s="449" t="n"/>
      <c r="N37" s="449" t="n"/>
      <c r="O37" s="449" t="n"/>
      <c r="P37" s="449" t="n"/>
      <c r="Q37" s="449" t="n"/>
    </row>
    <row r="38">
      <c r="B38" s="18" t="n"/>
      <c r="C38" s="18" t="n"/>
      <c r="D38" s="18" t="n"/>
      <c r="E38" s="18" t="n"/>
      <c r="F38" s="18" t="n"/>
      <c r="G38" s="330" t="n"/>
      <c r="H38" s="33" t="n"/>
      <c r="I38" s="18" t="n"/>
      <c r="J38" s="18" t="n"/>
      <c r="K38" s="18" t="n"/>
      <c r="L38" s="2" t="n"/>
    </row>
    <row r="39">
      <c r="B39" s="18" t="n"/>
      <c r="C39" s="18" t="n"/>
      <c r="D39" s="18" t="n"/>
      <c r="E39" s="18" t="n"/>
      <c r="F39" s="18" t="n"/>
      <c r="G39" s="330" t="n"/>
      <c r="H39" s="33" t="n"/>
      <c r="I39" s="18" t="n"/>
      <c r="J39" s="18" t="n"/>
      <c r="K39" s="18" t="n"/>
      <c r="L39" s="2" t="n"/>
    </row>
    <row r="40" ht="14.25" customHeight="1" s="462" thickBot="1">
      <c r="G40" s="326" t="n"/>
      <c r="L40" s="2" t="n"/>
    </row>
    <row r="41">
      <c r="B41" s="22" t="n"/>
      <c r="C41" s="25" t="n"/>
      <c r="D41" s="25" t="inlineStr">
        <is>
          <t>現在待機場所</t>
        </is>
      </c>
      <c r="E41" s="25" t="inlineStr">
        <is>
          <t>待機予定場所</t>
        </is>
      </c>
      <c r="F41" s="466" t="n"/>
      <c r="G41" s="326" t="n"/>
      <c r="H41" s="375" t="inlineStr">
        <is>
          <t>目標距離</t>
        </is>
      </c>
      <c r="I41" s="465" t="n"/>
      <c r="J41" s="467" t="n"/>
      <c r="K41" s="377" t="n"/>
      <c r="L41" s="2" t="n"/>
    </row>
    <row r="42" ht="14.25" customHeight="1" s="462" thickBot="1">
      <c r="B42" s="26" t="inlineStr">
        <is>
          <t>2(255)</t>
        </is>
      </c>
      <c r="C42" s="21" t="inlineStr">
        <is>
          <t>山岸</t>
        </is>
      </c>
      <c r="D42" s="34" t="n"/>
      <c r="E42" s="34" t="n"/>
      <c r="F42" s="466" t="n"/>
      <c r="G42" s="326" t="n"/>
      <c r="H42" s="468" t="n"/>
      <c r="I42" s="477" t="n"/>
      <c r="J42" s="469" t="n"/>
      <c r="K42" s="470" t="n"/>
      <c r="L42" s="2" t="n"/>
    </row>
    <row r="43">
      <c r="B43" s="26" t="inlineStr">
        <is>
          <t>8(254)</t>
        </is>
      </c>
      <c r="C43" s="21" t="inlineStr">
        <is>
          <t>砂川</t>
        </is>
      </c>
      <c r="D43" s="35" t="n"/>
      <c r="E43" s="35" t="n"/>
      <c r="F43" s="466" t="n"/>
      <c r="G43" s="326" t="n"/>
      <c r="H43" s="368" t="inlineStr">
        <is>
          <t>残距離</t>
        </is>
      </c>
      <c r="J43" s="471" t="n"/>
      <c r="K43" s="354" t="n"/>
      <c r="L43" s="2" t="n"/>
    </row>
    <row r="44" ht="14.25" customHeight="1" s="462" thickBot="1">
      <c r="B44" s="26" t="inlineStr">
        <is>
          <t>9(256)</t>
        </is>
      </c>
      <c r="C44" s="21" t="inlineStr">
        <is>
          <t>前川</t>
        </is>
      </c>
      <c r="D44" s="35" t="n"/>
      <c r="E44" s="35" t="n"/>
      <c r="F44" s="466" t="n"/>
      <c r="G44" s="326" t="n"/>
      <c r="H44" s="468" t="n"/>
      <c r="I44" s="477" t="n"/>
      <c r="J44" s="469" t="n"/>
      <c r="K44" s="472" t="n"/>
      <c r="L44" s="2" t="n"/>
    </row>
    <row r="45" ht="14.25" customHeight="1" s="462" thickBot="1">
      <c r="B45" s="26" t="inlineStr">
        <is>
          <t>10(257)</t>
        </is>
      </c>
      <c r="C45" s="35" t="n"/>
      <c r="D45" s="35" t="n"/>
      <c r="E45" s="35" t="n"/>
      <c r="F45" s="466" t="n"/>
      <c r="G45" s="326" t="n"/>
      <c r="L45" s="2" t="n"/>
    </row>
    <row r="46">
      <c r="B46" s="26" t="inlineStr">
        <is>
          <t>11(258)</t>
        </is>
      </c>
      <c r="C46" s="21" t="inlineStr">
        <is>
          <t>郡司</t>
        </is>
      </c>
      <c r="D46" s="35" t="n"/>
      <c r="E46" s="35" t="n"/>
      <c r="F46" s="466" t="n"/>
      <c r="G46" s="326" t="n"/>
      <c r="H46" s="350" t="inlineStr">
        <is>
          <t>依頼件数</t>
        </is>
      </c>
      <c r="I46" s="465" t="n"/>
      <c r="J46" s="467" t="n"/>
      <c r="K46" s="354" t="n"/>
      <c r="L46" s="2" t="n"/>
    </row>
    <row r="47" ht="14.25" customHeight="1" s="462" thickBot="1">
      <c r="B47" s="26" t="inlineStr">
        <is>
          <t>12(736)</t>
        </is>
      </c>
      <c r="C47" s="21" t="n"/>
      <c r="D47" s="35" t="n"/>
      <c r="E47" s="35" t="n"/>
      <c r="F47" s="466" t="n"/>
      <c r="H47" s="468" t="n"/>
      <c r="I47" s="477" t="n"/>
      <c r="J47" s="469" t="n"/>
      <c r="K47" s="472" t="n"/>
      <c r="L47" s="2" t="n"/>
    </row>
    <row r="48" ht="16.5" customHeight="1" s="462">
      <c r="B48" s="26" t="inlineStr">
        <is>
          <t>13(737)</t>
        </is>
      </c>
      <c r="C48" s="21" t="n"/>
      <c r="D48" s="35" t="n"/>
      <c r="E48" s="35" t="n"/>
      <c r="F48" s="466" t="n"/>
      <c r="H48" s="38" t="n"/>
      <c r="I48" s="38" t="n"/>
      <c r="J48" s="38" t="n"/>
      <c r="K48" s="39" t="n"/>
      <c r="L48" s="2" t="n"/>
    </row>
    <row r="49" ht="16.5" customHeight="1" s="462">
      <c r="B49" s="40" t="inlineStr">
        <is>
          <t>14(738)</t>
        </is>
      </c>
      <c r="C49" s="21" t="inlineStr">
        <is>
          <t>辻井</t>
        </is>
      </c>
      <c r="D49" s="35" t="n"/>
      <c r="E49" s="35" t="n"/>
      <c r="F49" s="466" t="n"/>
      <c r="H49" s="38" t="n"/>
      <c r="I49" s="38" t="n"/>
      <c r="J49" s="38" t="n"/>
      <c r="K49" s="39" t="n"/>
      <c r="L49" s="2" t="n"/>
    </row>
    <row r="50" ht="8.25" customHeight="1" s="462">
      <c r="B50" s="41" t="n"/>
      <c r="C50" s="42" t="n"/>
      <c r="D50" s="43" t="n"/>
      <c r="E50" s="44" t="n"/>
      <c r="F50" s="349" t="n"/>
      <c r="H50" s="38" t="n"/>
      <c r="I50" s="38" t="n"/>
      <c r="J50" s="38" t="n"/>
      <c r="K50" s="39" t="n"/>
      <c r="L50" s="2" t="n"/>
    </row>
    <row r="51" ht="17.25" customHeight="1" s="462">
      <c r="B51" s="45" t="n">
        <v>7290</v>
      </c>
      <c r="C51" s="21" t="inlineStr">
        <is>
          <t>佐藤</t>
        </is>
      </c>
      <c r="D51" s="35" t="n"/>
      <c r="E51" s="348" t="n"/>
      <c r="F51" s="349" t="n"/>
      <c r="H51" s="38" t="n"/>
      <c r="I51" s="38" t="n"/>
      <c r="J51" s="38" t="n"/>
      <c r="K51" s="39" t="n"/>
      <c r="L51" s="2" t="n"/>
    </row>
    <row r="52" ht="17.25" customHeight="1" s="462">
      <c r="B52" s="45" t="n">
        <v>7291</v>
      </c>
      <c r="C52" s="21" t="inlineStr">
        <is>
          <t>末次</t>
        </is>
      </c>
      <c r="D52" s="35" t="n"/>
      <c r="E52" s="348" t="n"/>
      <c r="F52" s="349" t="n"/>
      <c r="H52" s="38" t="n"/>
      <c r="I52" s="38" t="n"/>
      <c r="J52" s="38" t="n"/>
      <c r="K52" s="39" t="n"/>
      <c r="L52" s="2" t="n"/>
    </row>
    <row r="53" ht="9" customHeight="1" s="462">
      <c r="B53" s="41" t="n"/>
      <c r="C53" s="42" t="n"/>
      <c r="D53" s="44" t="n"/>
      <c r="E53" s="44" t="n"/>
      <c r="F53" s="349" t="n"/>
      <c r="H53" s="38" t="n"/>
      <c r="I53" s="38" t="n"/>
      <c r="J53" s="38" t="n"/>
      <c r="K53" s="39" t="n"/>
      <c r="L53" s="2" t="n"/>
    </row>
    <row r="54" ht="16.5" customHeight="1" s="462">
      <c r="B54" s="45" t="n">
        <v>333</v>
      </c>
      <c r="C54" s="21" t="inlineStr">
        <is>
          <t>金井/奥田</t>
        </is>
      </c>
      <c r="D54" s="35" t="n"/>
      <c r="E54" s="484" t="n"/>
      <c r="F54" s="469" t="n"/>
      <c r="H54" s="38" t="n"/>
      <c r="I54" s="38" t="n"/>
      <c r="J54" s="38" t="n"/>
      <c r="K54" s="39" t="n"/>
      <c r="L54" s="2" t="n"/>
    </row>
    <row r="55" ht="16.5" customHeight="1" s="462">
      <c r="B55" s="46" t="n">
        <v>666</v>
      </c>
      <c r="C55" s="21" t="inlineStr">
        <is>
          <t>徳留</t>
        </is>
      </c>
      <c r="D55" s="35" t="n"/>
      <c r="E55" s="35" t="n"/>
      <c r="F55" s="466" t="n"/>
      <c r="H55" s="38" t="n"/>
      <c r="I55" s="38" t="n"/>
      <c r="J55" s="38" t="n"/>
      <c r="K55" s="39" t="n"/>
      <c r="L55" s="2" t="n"/>
    </row>
    <row r="56" ht="16.5" customHeight="1" s="462">
      <c r="B56" s="46" t="n">
        <v>777</v>
      </c>
      <c r="C56" s="21" t="n"/>
      <c r="D56" s="35" t="n"/>
      <c r="E56" s="348" t="n"/>
      <c r="F56" s="349" t="n"/>
      <c r="H56" s="38" t="n"/>
      <c r="I56" s="38" t="n"/>
      <c r="J56" s="38" t="n"/>
      <c r="K56" s="39" t="n"/>
      <c r="L56" s="2" t="n"/>
    </row>
    <row r="57" ht="16.5" customHeight="1" s="462">
      <c r="B57" s="47" t="n">
        <v>330</v>
      </c>
      <c r="C57" s="21" t="n"/>
      <c r="D57" s="35" t="n"/>
      <c r="E57" s="35" t="n"/>
      <c r="F57" s="466" t="n"/>
      <c r="H57" s="38" t="n"/>
      <c r="I57" s="38" t="n"/>
      <c r="J57" s="38" t="n"/>
      <c r="K57" s="39" t="n"/>
      <c r="L57" s="2" t="n"/>
    </row>
    <row r="58" ht="16.5" customHeight="1" s="462">
      <c r="B58" s="47" t="n">
        <v>990</v>
      </c>
      <c r="C58" s="21" t="inlineStr">
        <is>
          <t>山原</t>
        </is>
      </c>
      <c r="D58" s="35" t="n"/>
      <c r="E58" s="35" t="n"/>
      <c r="F58" s="466" t="n"/>
      <c r="H58" s="38" t="n"/>
      <c r="I58" s="38" t="n"/>
      <c r="J58" s="38" t="n"/>
      <c r="K58" s="39" t="n"/>
      <c r="L58" s="2" t="n"/>
    </row>
    <row r="59">
      <c r="L59" s="2" t="n"/>
    </row>
    <row r="60">
      <c r="C60" s="449" t="inlineStr">
        <is>
          <t>出発→到着</t>
        </is>
      </c>
      <c r="D60" s="420" t="inlineStr">
        <is>
          <t>備考</t>
        </is>
      </c>
      <c r="L60" s="2" t="n"/>
    </row>
    <row r="61">
      <c r="B61" s="27" t="inlineStr">
        <is>
          <t>①</t>
        </is>
      </c>
      <c r="C61" s="449" t="inlineStr">
        <is>
          <t>東→西</t>
        </is>
      </c>
      <c r="D61" s="485" t="inlineStr">
        <is>
          <t>①Aチーム優先</t>
        </is>
      </c>
      <c r="E61" s="486" t="n"/>
      <c r="F61" s="486" t="n"/>
      <c r="G61" s="486" t="n"/>
      <c r="H61" s="486" t="n"/>
      <c r="I61" s="486" t="n"/>
      <c r="J61" s="466" t="n"/>
      <c r="L61" s="2" t="n"/>
    </row>
    <row r="62">
      <c r="B62" s="27" t="inlineStr">
        <is>
          <t>②</t>
        </is>
      </c>
      <c r="C62" s="449" t="inlineStr">
        <is>
          <t>東→東</t>
        </is>
      </c>
      <c r="D62" s="485" t="inlineStr">
        <is>
          <t>②急ぎ案件の場合、道路状況も伝えてあげる。</t>
        </is>
      </c>
      <c r="E62" s="486" t="n"/>
      <c r="F62" s="486" t="n"/>
      <c r="G62" s="486" t="n"/>
      <c r="H62" s="486" t="n"/>
      <c r="I62" s="486" t="n"/>
      <c r="J62" s="466" t="n"/>
      <c r="L62" s="2" t="n"/>
    </row>
    <row r="63">
      <c r="B63" s="27" t="inlineStr">
        <is>
          <t>③</t>
        </is>
      </c>
      <c r="C63" s="449" t="inlineStr">
        <is>
          <t>西→東</t>
        </is>
      </c>
      <c r="D63" s="485" t="inlineStr">
        <is>
          <t>③各ドライバーの位置からの帰社のタイミング・夕方の配置</t>
        </is>
      </c>
      <c r="E63" s="486" t="n"/>
      <c r="F63" s="486" t="n"/>
      <c r="G63" s="486" t="n"/>
      <c r="H63" s="486" t="n"/>
      <c r="I63" s="486" t="n"/>
      <c r="J63" s="466" t="n"/>
      <c r="L63" s="2" t="n"/>
    </row>
    <row r="64">
      <c r="B64" s="27" t="inlineStr">
        <is>
          <t>④</t>
        </is>
      </c>
      <c r="C64" s="449" t="inlineStr">
        <is>
          <t>西→西</t>
        </is>
      </c>
      <c r="D64" s="485" t="inlineStr">
        <is>
          <t>④依頼を受ける際の、希望時間と現状の位置。行けるか行けないかの判断をしっかりと。</t>
        </is>
      </c>
      <c r="E64" s="486" t="n"/>
      <c r="F64" s="486" t="n"/>
      <c r="G64" s="486" t="n"/>
      <c r="H64" s="486" t="n"/>
      <c r="I64" s="486" t="n"/>
      <c r="J64" s="466" t="n"/>
      <c r="L64" s="2" t="n"/>
    </row>
    <row r="65">
      <c r="D65" s="485" t="inlineStr">
        <is>
          <t>⑤軽に乗るか乗らないかの判断に気を付ける。</t>
        </is>
      </c>
      <c r="E65" s="486" t="n"/>
      <c r="F65" s="486" t="n"/>
      <c r="G65" s="486" t="n"/>
      <c r="H65" s="486" t="n"/>
      <c r="I65" s="486" t="n"/>
      <c r="J65" s="466" t="n"/>
      <c r="L65" s="2" t="n"/>
    </row>
    <row r="66">
      <c r="B66" s="22" t="n"/>
      <c r="C66" s="420" t="inlineStr">
        <is>
          <t>現状配置(予測)</t>
        </is>
      </c>
      <c r="D66" s="485" t="inlineStr">
        <is>
          <t>⑥18/1日、1.8/1人、3件/1人</t>
        </is>
      </c>
      <c r="E66" s="486" t="n"/>
      <c r="F66" s="486" t="n"/>
      <c r="G66" s="486" t="n"/>
      <c r="H66" s="486" t="n"/>
      <c r="I66" s="486" t="n"/>
      <c r="J66" s="466" t="n"/>
      <c r="L66" s="2" t="n"/>
    </row>
    <row r="67">
      <c r="B67" s="420" t="inlineStr">
        <is>
          <t>西(神戸西・弥栄台)</t>
        </is>
      </c>
      <c r="C67" s="420" t="n"/>
      <c r="D67" s="485" t="inlineStr">
        <is>
          <t>⑦依頼書の見落とし(日付、入替、入出庫、場所）</t>
        </is>
      </c>
      <c r="E67" s="486" t="n"/>
      <c r="F67" s="486" t="n"/>
      <c r="G67" s="486" t="n"/>
      <c r="H67" s="486" t="n"/>
      <c r="I67" s="486" t="n"/>
      <c r="J67" s="466" t="n"/>
      <c r="L67" s="2" t="n"/>
    </row>
    <row r="68">
      <c r="B68" s="420" t="inlineStr">
        <is>
          <t>真ん中(摩耶・中央)</t>
        </is>
      </c>
      <c r="C68" s="420" t="n"/>
      <c r="D68" s="485" t="inlineStr">
        <is>
          <t>⑧3ｔ車と2ｔ車への振り方(西と東に振り分ける)</t>
        </is>
      </c>
      <c r="E68" s="486" t="n"/>
      <c r="F68" s="486" t="n"/>
      <c r="G68" s="486" t="n"/>
      <c r="H68" s="486" t="n"/>
      <c r="I68" s="486" t="n"/>
      <c r="J68" s="466" t="n"/>
      <c r="L68" s="2" t="n"/>
    </row>
    <row r="69">
      <c r="B69" s="420" t="inlineStr">
        <is>
          <t>東(尼崎・伊丹・西宮)</t>
        </is>
      </c>
      <c r="C69" s="420" t="n"/>
      <c r="D69" s="485" t="inlineStr">
        <is>
          <t>⑨</t>
        </is>
      </c>
      <c r="E69" s="486" t="n"/>
      <c r="F69" s="486" t="n"/>
      <c r="G69" s="486" t="n"/>
      <c r="H69" s="486" t="n"/>
      <c r="I69" s="486" t="n"/>
      <c r="J69" s="466" t="n"/>
      <c r="L69" s="2" t="n"/>
    </row>
    <row r="70">
      <c r="B70" s="48" t="inlineStr">
        <is>
          <t>極東(港区・淀屋橋)</t>
        </is>
      </c>
      <c r="C70" s="420" t="n"/>
      <c r="D70" s="49" t="n"/>
      <c r="E70" s="49" t="n"/>
      <c r="F70" s="49" t="n"/>
      <c r="G70" s="49" t="n"/>
      <c r="H70" s="49" t="n"/>
      <c r="I70" s="49" t="n"/>
      <c r="J70" s="49" t="n"/>
      <c r="L70" s="2" t="n"/>
    </row>
    <row r="71" ht="14.25" customHeight="1" s="462" thickBot="1">
      <c r="L71" s="2" t="n"/>
    </row>
    <row r="72">
      <c r="C72" s="473" t="inlineStr">
        <is>
          <t>合計額/380</t>
        </is>
      </c>
      <c r="D72" s="358">
        <f>SUM(G72)</f>
        <v/>
      </c>
      <c r="F72" s="360" t="inlineStr">
        <is>
          <t>売り上げ額</t>
        </is>
      </c>
      <c r="G72" s="362">
        <f>SUM(SUM(K4:K38))+SUM(#REF!)</f>
        <v/>
      </c>
      <c r="H72" s="465" t="n"/>
      <c r="I72" s="465" t="n"/>
      <c r="J72" s="467" t="n"/>
      <c r="L72" s="2" t="n"/>
    </row>
    <row r="73" ht="14.25" customHeight="1" s="462" thickBot="1">
      <c r="C73" s="474" t="n"/>
      <c r="D73" s="475" t="n"/>
      <c r="F73" s="468" t="n"/>
      <c r="G73" s="476" t="n"/>
      <c r="H73" s="477" t="n"/>
      <c r="I73" s="477" t="n"/>
      <c r="J73" s="469" t="n"/>
      <c r="L73" s="2" t="n"/>
    </row>
    <row r="74">
      <c r="C74" s="478" t="inlineStr">
        <is>
          <t>前日までの売上合計額</t>
        </is>
      </c>
      <c r="D74" s="479">
        <f>SUM(B83)</f>
        <v/>
      </c>
      <c r="L74" s="2" t="n"/>
    </row>
    <row r="75" ht="14.25" customHeight="1" s="462" thickBot="1">
      <c r="C75" s="480" t="n"/>
      <c r="D75" s="480" t="n"/>
      <c r="F75" s="420" t="inlineStr">
        <is>
          <t>金井（55)</t>
        </is>
      </c>
      <c r="G75" s="345" t="n"/>
      <c r="H75" s="466" t="n"/>
      <c r="I75" s="130" t="n"/>
      <c r="L75" s="2" t="n"/>
    </row>
    <row r="76" ht="14.25" customHeight="1" s="462" thickTop="1">
      <c r="D76" s="346">
        <f>D72+D74</f>
        <v/>
      </c>
      <c r="F76" s="420" t="inlineStr">
        <is>
          <t>粟津(55)</t>
        </is>
      </c>
      <c r="G76" s="340" t="n"/>
      <c r="H76" s="466" t="n"/>
      <c r="I76" s="131" t="n"/>
      <c r="L76" s="2" t="n"/>
    </row>
    <row r="77">
      <c r="F77" s="420" t="inlineStr">
        <is>
          <t>砂川(50)</t>
        </is>
      </c>
      <c r="G77" s="340" t="n"/>
      <c r="H77" s="466" t="n"/>
      <c r="I77" s="131" t="n"/>
      <c r="L77" s="2" t="n"/>
    </row>
    <row r="78">
      <c r="C78" s="2" t="inlineStr">
        <is>
          <t>高代</t>
        </is>
      </c>
      <c r="F78" s="420" t="inlineStr">
        <is>
          <t>前川(50)</t>
        </is>
      </c>
      <c r="G78" s="340" t="n"/>
      <c r="H78" s="466" t="n"/>
      <c r="I78" s="131" t="n"/>
      <c r="L78" s="2" t="n"/>
    </row>
    <row r="79">
      <c r="C79" s="2" t="inlineStr">
        <is>
          <t>返還代</t>
        </is>
      </c>
      <c r="F79" s="420" t="inlineStr">
        <is>
          <t>佐藤(50)</t>
        </is>
      </c>
      <c r="G79" s="345" t="n"/>
      <c r="H79" s="466" t="n"/>
      <c r="I79" s="130" t="n"/>
      <c r="L79" s="2" t="n"/>
    </row>
    <row r="80">
      <c r="C80" s="2" t="inlineStr">
        <is>
          <t>回収率</t>
        </is>
      </c>
      <c r="D80" s="50">
        <f>D79/D78</f>
        <v/>
      </c>
      <c r="F80" s="420" t="inlineStr">
        <is>
          <t>末次(55)</t>
        </is>
      </c>
      <c r="G80" s="340" t="n"/>
      <c r="H80" s="466" t="n"/>
      <c r="I80" s="131" t="n"/>
      <c r="L80" s="2" t="n"/>
    </row>
    <row r="81">
      <c r="C81" s="2" t="inlineStr">
        <is>
          <t>費</t>
        </is>
      </c>
      <c r="D81" s="2">
        <f>D78-D79</f>
        <v/>
      </c>
      <c r="F81" s="420" t="inlineStr">
        <is>
          <t>筒井(75)</t>
        </is>
      </c>
      <c r="G81" s="340" t="n"/>
      <c r="H81" s="466" t="n"/>
      <c r="I81" s="131" t="n"/>
      <c r="L81" s="2" t="n"/>
    </row>
    <row r="82">
      <c r="F82" s="420" t="inlineStr">
        <is>
          <t>山岸(40)</t>
        </is>
      </c>
      <c r="G82" s="340" t="n"/>
      <c r="H82" s="466" t="n"/>
      <c r="I82" s="131" t="n"/>
      <c r="L82" s="2" t="n"/>
    </row>
    <row r="83" ht="23.25" customHeight="1" s="462">
      <c r="B83" s="71" t="n"/>
      <c r="F83" s="420" t="inlineStr">
        <is>
          <t>多苗(30)</t>
        </is>
      </c>
      <c r="G83" s="340" t="n"/>
      <c r="H83" s="466" t="n"/>
      <c r="I83" s="131" t="n"/>
      <c r="L83" s="2" t="inlineStr">
        <is>
          <t> </t>
        </is>
      </c>
    </row>
    <row r="84">
      <c r="L84" s="2" t="n"/>
    </row>
    <row r="85">
      <c r="L85" s="2" t="n"/>
    </row>
    <row r="86">
      <c r="F86" s="335" t="n"/>
    </row>
  </sheetData>
  <autoFilter ref="H1:H85"/>
  <mergeCells count="55">
    <mergeCell ref="E43:F43"/>
    <mergeCell ref="D62:J62"/>
    <mergeCell ref="G81:H81"/>
    <mergeCell ref="G77:H77"/>
    <mergeCell ref="Q3:R3"/>
    <mergeCell ref="E55:F55"/>
    <mergeCell ref="Q37:R37"/>
    <mergeCell ref="D68:J68"/>
    <mergeCell ref="Q28:R28"/>
    <mergeCell ref="E42:F42"/>
    <mergeCell ref="D64:J64"/>
    <mergeCell ref="E48:F48"/>
    <mergeCell ref="K41:K42"/>
    <mergeCell ref="D67:J67"/>
    <mergeCell ref="D76:D77"/>
    <mergeCell ref="E44:F44"/>
    <mergeCell ref="G82:H82"/>
    <mergeCell ref="B2:C2"/>
    <mergeCell ref="Q29:R29"/>
    <mergeCell ref="Q5:R5"/>
    <mergeCell ref="D69:J69"/>
    <mergeCell ref="D72:D73"/>
    <mergeCell ref="Q10:R10"/>
    <mergeCell ref="K46:K47"/>
    <mergeCell ref="H43:J44"/>
    <mergeCell ref="F72:F73"/>
    <mergeCell ref="Q26:R26"/>
    <mergeCell ref="D63:J63"/>
    <mergeCell ref="G78:H78"/>
    <mergeCell ref="Q4:R4"/>
    <mergeCell ref="H41:J42"/>
    <mergeCell ref="K43:K44"/>
    <mergeCell ref="G83:H83"/>
    <mergeCell ref="E46:F46"/>
    <mergeCell ref="D65:J65"/>
    <mergeCell ref="D74:D75"/>
    <mergeCell ref="E49:F49"/>
    <mergeCell ref="G80:H80"/>
    <mergeCell ref="E45:F45"/>
    <mergeCell ref="C72:C73"/>
    <mergeCell ref="H46:J47"/>
    <mergeCell ref="Q27:R27"/>
    <mergeCell ref="G72:J73"/>
    <mergeCell ref="G79:H79"/>
    <mergeCell ref="E57:F57"/>
    <mergeCell ref="D61:J61"/>
    <mergeCell ref="E54:F54"/>
    <mergeCell ref="D66:J66"/>
    <mergeCell ref="Q11:R11"/>
    <mergeCell ref="G76:H76"/>
    <mergeCell ref="E41:F41"/>
    <mergeCell ref="C74:C75"/>
    <mergeCell ref="G75:H75"/>
    <mergeCell ref="E58:F58"/>
    <mergeCell ref="E47:F47"/>
  </mergeCells>
  <conditionalFormatting sqref="K43:K44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37">
    <cfRule type="cellIs" priority="1" operator="greaterThan" dxfId="0">
      <formula>30</formula>
    </cfRule>
  </conditionalFormatting>
  <conditionalFormatting sqref="D5:D46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55" horizontalDpi="1200" verticalDpi="1200"/>
</worksheet>
</file>

<file path=xl/worksheets/sheet24.xml><?xml version="1.0" encoding="utf-8"?>
<worksheet xmlns="http://schemas.openxmlformats.org/spreadsheetml/2006/main">
  <sheetPr codeName="Sheet24">
    <outlinePr summaryBelow="1" summaryRight="1"/>
    <pageSetUpPr fitToPage="1"/>
  </sheetPr>
  <dimension ref="A1:R66"/>
  <sheetViews>
    <sheetView topLeftCell="A22" zoomScale="85" zoomScaleNormal="85" workbookViewId="0">
      <selection activeCell="F13" sqref="F13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10"/>
    <col width="19.125" customWidth="1" style="2" min="11" max="11"/>
    <col width="8.25" customWidth="1" style="452" min="12" max="12"/>
    <col width="8.75" customWidth="1" style="2" min="13" max="16384"/>
  </cols>
  <sheetData>
    <row r="1"/>
    <row r="2" ht="15" customHeight="1" s="462" thickBot="1">
      <c r="B2" s="492" t="n">
        <v>46186</v>
      </c>
      <c r="D2" s="2" t="inlineStr">
        <is>
          <t>NO.1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262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274" t="n"/>
      <c r="G6" s="65" t="n"/>
      <c r="H6" s="262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262" t="n"/>
      <c r="I7" s="299">
        <f>IFERROR(_xlfn.XLOOKUP(H7,案件・ドライバー一覧!$L$3:$L$17,案件・ドライバー一覧!$M$3:$M$17,""),"")</f>
        <v/>
      </c>
      <c r="J7" s="57" t="n"/>
      <c r="K7" s="72" t="n"/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262" t="n"/>
      <c r="I8" s="299">
        <f>IFERROR(_xlfn.XLOOKUP(H8,案件・ドライバー一覧!$L$3:$L$17,案件・ドライバー一覧!$M$3:$M$17,""),"")</f>
        <v/>
      </c>
      <c r="J8" s="57" t="n"/>
      <c r="K8" s="72" t="n"/>
      <c r="L8" s="61" t="n"/>
      <c r="M8" s="449" t="n"/>
      <c r="N8" s="449" t="n"/>
      <c r="O8" s="449" t="n"/>
      <c r="P8" s="449" t="n"/>
      <c r="Q8" s="449" t="n"/>
      <c r="R8" s="449" t="n"/>
    </row>
    <row r="9" ht="30.75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262" t="n"/>
      <c r="I9" s="80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441" t="n"/>
      <c r="C10" s="63" t="n"/>
      <c r="D10" s="441" t="n"/>
      <c r="E10" s="441" t="n"/>
      <c r="F10" s="57" t="n"/>
      <c r="G10" s="59" t="n"/>
      <c r="H10" s="262" t="n"/>
      <c r="I10" s="80">
        <f>IFERROR(_xlfn.XLOOKUP(H10,案件・ドライバー一覧!$L$3:$L$17,案件・ドライバー一覧!$M$3:$M$17,""),"")</f>
        <v/>
      </c>
      <c r="J10" s="57" t="n"/>
      <c r="K10" s="72" t="n"/>
      <c r="L10" s="61" t="n"/>
      <c r="M10" s="449" t="n"/>
      <c r="N10" s="449" t="n"/>
      <c r="O10" s="449" t="n"/>
      <c r="P10" s="449" t="n"/>
      <c r="Q10" s="449" t="n"/>
      <c r="R10" s="449" t="n"/>
    </row>
    <row r="11" ht="36" customHeight="1" s="462">
      <c r="A11" s="423">
        <f>IF(B11="","",COUNTA($B$5:B11))</f>
        <v/>
      </c>
      <c r="B11" s="441" t="n"/>
      <c r="C11" s="63" t="n"/>
      <c r="D11" s="440" t="n"/>
      <c r="E11" s="64" t="n"/>
      <c r="F11" s="57" t="n"/>
      <c r="G11" s="65" t="n"/>
      <c r="H11" s="262" t="n"/>
      <c r="I11" s="80">
        <f>IFERROR(_xlfn.XLOOKUP(H11,案件・ドライバー一覧!$L$3:$L$17,案件・ドライバー一覧!$M$3:$M$17,""),"")</f>
        <v/>
      </c>
      <c r="J11" s="57" t="n"/>
      <c r="K11" s="72" t="n"/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441" t="n"/>
      <c r="C12" s="63" t="n"/>
      <c r="D12" s="64" t="n"/>
      <c r="E12" s="64" t="n"/>
      <c r="F12" s="57" t="n"/>
      <c r="G12" s="59" t="n"/>
      <c r="H12" s="262" t="n"/>
      <c r="I12" s="132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33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262" t="n"/>
      <c r="I13" s="80">
        <f>IFERROR(_xlfn.XLOOKUP(H13,案件・ドライバー一覧!$L$3:$L$17,案件・ドライバー一覧!$M$3:$M$17,""),"")</f>
        <v/>
      </c>
      <c r="J13" s="57" t="n"/>
      <c r="K13" s="72" t="n"/>
      <c r="L13" s="61" t="n"/>
      <c r="M13" s="449" t="n"/>
      <c r="N13" s="449" t="n"/>
      <c r="O13" s="449" t="n"/>
      <c r="P13" s="449" t="n"/>
      <c r="Q13" s="449" t="n"/>
      <c r="R13" s="449" t="n"/>
    </row>
    <row r="14" ht="54" customHeight="1" s="462">
      <c r="A14" s="423">
        <f>IF(B14="","",COUNTA($B$5:B14))</f>
        <v/>
      </c>
      <c r="B14" s="441" t="n"/>
      <c r="C14" s="63" t="n"/>
      <c r="D14" s="441" t="n"/>
      <c r="E14" s="129" t="n"/>
      <c r="F14" s="57" t="n"/>
      <c r="G14" s="59" t="n"/>
      <c r="H14" s="262" t="n"/>
      <c r="I14" s="80">
        <f>IFERROR(_xlfn.XLOOKUP(H14,案件・ドライバー一覧!$L$3:$L$17,案件・ドライバー一覧!$M$3:$M$17,""),"")</f>
        <v/>
      </c>
      <c r="J14" s="57" t="n"/>
      <c r="K14" s="72" t="n"/>
      <c r="L14" s="61" t="n"/>
      <c r="M14" s="449" t="n"/>
      <c r="N14" s="449" t="n"/>
      <c r="O14" s="449" t="n"/>
      <c r="P14" s="449" t="n"/>
      <c r="Q14" s="449" t="n"/>
      <c r="R14" s="449" t="n"/>
    </row>
    <row r="15" ht="29.25" customHeight="1" s="462">
      <c r="A15" s="423">
        <f>IF(B15="","",COUNTA($B$5:B15))</f>
        <v/>
      </c>
      <c r="B15" s="57" t="n"/>
      <c r="C15" s="441" t="n"/>
      <c r="D15" s="63" t="n"/>
      <c r="E15" s="440" t="n"/>
      <c r="F15" s="274" t="n"/>
      <c r="G15" s="65" t="n"/>
      <c r="H15" s="262" t="n"/>
      <c r="I15" s="80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</row>
    <row r="16" ht="29.25" customHeight="1" s="462">
      <c r="A16" s="423">
        <f>IF(B16="","",COUNTA($B$5:B16))</f>
        <v/>
      </c>
      <c r="B16" s="441" t="n"/>
      <c r="C16" s="440" t="n"/>
      <c r="D16" s="441" t="n"/>
      <c r="E16" s="440" t="n"/>
      <c r="F16" s="57" t="n"/>
      <c r="G16" s="65" t="n"/>
      <c r="H16" s="262" t="n"/>
      <c r="I16" s="74">
        <f>IFERROR(_xlfn.XLOOKUP(H16,案件・ドライバー一覧!$L$3:$L$17,案件・ドライバー一覧!$M$3:$M$17,""),"")</f>
        <v/>
      </c>
      <c r="J16" s="420" t="n"/>
      <c r="K16" s="72" t="n"/>
      <c r="L16" s="61" t="n"/>
      <c r="M16" s="449" t="n"/>
      <c r="N16" s="449" t="n"/>
      <c r="O16" s="449" t="n"/>
      <c r="P16" s="449" t="n"/>
      <c r="Q16" s="449" t="n"/>
    </row>
    <row r="17" ht="27" customHeight="1" s="462">
      <c r="A17" s="423">
        <f>IF(B17="","",COUNTA($B$5:B17))</f>
        <v/>
      </c>
      <c r="B17" s="441" t="n"/>
      <c r="C17" s="63" t="n"/>
      <c r="D17" s="440" t="n"/>
      <c r="E17" s="64" t="n"/>
      <c r="F17" s="57" t="n"/>
      <c r="G17" s="59" t="n"/>
      <c r="H17" s="262" t="n"/>
      <c r="I17" s="74">
        <f>IFERROR(_xlfn.XLOOKUP(H17,案件・ドライバー一覧!$L$3:$L$17,案件・ドライバー一覧!$M$3:$M$17,""),"")</f>
        <v/>
      </c>
      <c r="J17" s="420" t="n"/>
      <c r="K17" s="73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</row>
    <row r="18" ht="27" customHeight="1" s="462">
      <c r="A18" s="423" t="n"/>
      <c r="B18" s="441" t="n"/>
      <c r="C18" s="63" t="n"/>
      <c r="D18" s="440" t="n"/>
      <c r="E18" s="64" t="n"/>
      <c r="F18" s="57" t="n"/>
      <c r="G18" s="59" t="n"/>
      <c r="H18" s="60" t="n"/>
      <c r="I18" s="60" t="n"/>
      <c r="J18" s="57" t="n"/>
      <c r="K18" s="73" t="n"/>
      <c r="L18" s="61" t="n"/>
      <c r="M18" s="449" t="n"/>
      <c r="N18" s="449" t="n"/>
      <c r="O18" s="449" t="n"/>
      <c r="P18" s="449" t="n"/>
      <c r="Q18" s="449" t="n"/>
      <c r="R18" s="449" t="n"/>
    </row>
    <row r="19" ht="27.75" customHeight="1" s="462">
      <c r="A19" s="423">
        <f>IF(B19="","",COUNTA($B$5:B19))</f>
        <v/>
      </c>
      <c r="B19" s="420" t="n"/>
      <c r="C19" s="420" t="n"/>
      <c r="D19" s="420" t="n"/>
      <c r="E19" s="420" t="n"/>
      <c r="F19" s="420" t="n"/>
      <c r="G19" s="69" t="n"/>
      <c r="H19" s="70" t="n"/>
      <c r="I19" s="70" t="n"/>
      <c r="J19" s="420" t="n"/>
      <c r="K19" s="2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</row>
    <row r="20" ht="27" customHeight="1" s="462">
      <c r="B20" s="18" t="n"/>
      <c r="C20" s="18" t="n"/>
      <c r="D20" s="18" t="n"/>
      <c r="E20" s="18" t="n"/>
      <c r="F20" s="18" t="n"/>
      <c r="G20" s="19" t="n"/>
      <c r="H20" s="33" t="n"/>
      <c r="I20" s="18" t="n"/>
      <c r="J20" s="18" t="n"/>
      <c r="K20" s="18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2" t="n"/>
    </row>
    <row r="21" ht="27" customHeight="1" s="462" thickBot="1">
      <c r="K21" s="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2" t="n"/>
    </row>
    <row r="22" ht="27" customHeight="1" s="462">
      <c r="B22" s="22" t="n"/>
      <c r="C22" s="25" t="n"/>
      <c r="D22" s="25" t="inlineStr">
        <is>
          <t>現在待機場所</t>
        </is>
      </c>
      <c r="E22" s="25" t="inlineStr">
        <is>
          <t>待機予定場所</t>
        </is>
      </c>
      <c r="F22" s="466" t="n"/>
      <c r="H22" s="375" t="inlineStr">
        <is>
          <t>目標距離</t>
        </is>
      </c>
      <c r="I22" s="465" t="n"/>
      <c r="J22" s="467" t="n"/>
      <c r="K22" s="377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2" t="n"/>
    </row>
    <row r="23" ht="27" customHeight="1" s="462" thickBot="1">
      <c r="B23" s="26" t="inlineStr">
        <is>
          <t>2(255)</t>
        </is>
      </c>
      <c r="C23" s="21" t="inlineStr">
        <is>
          <t>山岸</t>
        </is>
      </c>
      <c r="D23" s="34" t="n"/>
      <c r="E23" s="34" t="n"/>
      <c r="F23" s="466" t="n"/>
      <c r="H23" s="468" t="n"/>
      <c r="I23" s="477" t="n"/>
      <c r="J23" s="469" t="n"/>
      <c r="K23" s="470" t="n"/>
      <c r="L23" s="2" t="n"/>
    </row>
    <row r="24">
      <c r="B24" s="26" t="inlineStr">
        <is>
          <t>8(254)</t>
        </is>
      </c>
      <c r="C24" s="21" t="inlineStr">
        <is>
          <t>砂川</t>
        </is>
      </c>
      <c r="D24" s="35" t="n"/>
      <c r="E24" s="35" t="n"/>
      <c r="F24" s="466" t="n"/>
      <c r="H24" s="368" t="inlineStr">
        <is>
          <t>残距離</t>
        </is>
      </c>
      <c r="J24" s="471" t="n"/>
      <c r="K24" s="354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2" t="n"/>
    </row>
    <row r="25" ht="14.25" customHeight="1" s="462" thickBot="1">
      <c r="B25" s="26" t="inlineStr">
        <is>
          <t>9(256)</t>
        </is>
      </c>
      <c r="C25" s="21" t="inlineStr">
        <is>
          <t>前川</t>
        </is>
      </c>
      <c r="D25" s="35" t="n"/>
      <c r="E25" s="35" t="n"/>
      <c r="F25" s="466" t="n"/>
      <c r="H25" s="468" t="n"/>
      <c r="I25" s="477" t="n"/>
      <c r="J25" s="469" t="n"/>
      <c r="K25" s="472" t="n"/>
      <c r="L25" s="2" t="n"/>
    </row>
    <row r="26" ht="14.25" customHeight="1" s="462" thickBot="1">
      <c r="B26" s="26" t="inlineStr">
        <is>
          <t>10(257)</t>
        </is>
      </c>
      <c r="C26" s="35" t="n"/>
      <c r="D26" s="35" t="n"/>
      <c r="E26" s="35" t="n"/>
      <c r="F26" s="466" t="n"/>
      <c r="K26" s="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2" t="n"/>
    </row>
    <row r="27">
      <c r="B27" s="26" t="inlineStr">
        <is>
          <t>11(258)</t>
        </is>
      </c>
      <c r="C27" s="21" t="inlineStr">
        <is>
          <t>郡司</t>
        </is>
      </c>
      <c r="D27" s="35" t="n"/>
      <c r="E27" s="35" t="n"/>
      <c r="F27" s="466" t="n"/>
      <c r="H27" s="350" t="inlineStr">
        <is>
          <t>依頼件数</t>
        </is>
      </c>
      <c r="I27" s="465" t="n"/>
      <c r="J27" s="467" t="n"/>
      <c r="K27" s="354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2" t="n"/>
    </row>
    <row r="28">
      <c r="B28" s="26" t="inlineStr">
        <is>
          <t>12(736)</t>
        </is>
      </c>
      <c r="C28" s="21" t="n"/>
      <c r="D28" s="35" t="n"/>
      <c r="E28" s="35" t="n"/>
      <c r="F28" s="466" t="n"/>
      <c r="H28" s="468" t="n"/>
      <c r="I28" s="477" t="n"/>
      <c r="J28" s="469" t="n"/>
      <c r="K28" s="472" t="n"/>
      <c r="L28" s="2" t="n"/>
    </row>
    <row r="29" ht="17.25" customHeight="1" s="462">
      <c r="B29" s="26" t="inlineStr">
        <is>
          <t>13(737)</t>
        </is>
      </c>
      <c r="C29" s="21" t="n"/>
      <c r="D29" s="35" t="n"/>
      <c r="E29" s="35" t="n"/>
      <c r="F29" s="466" t="n"/>
      <c r="H29" s="38" t="n"/>
      <c r="I29" s="38" t="n"/>
      <c r="J29" s="38" t="n"/>
      <c r="K29" s="39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2" t="n"/>
    </row>
    <row r="30" ht="17.25" customHeight="1" s="462">
      <c r="B30" s="40" t="inlineStr">
        <is>
          <t>14(738)</t>
        </is>
      </c>
      <c r="C30" s="21" t="inlineStr">
        <is>
          <t>辻井</t>
        </is>
      </c>
      <c r="D30" s="35" t="n"/>
      <c r="E30" s="35" t="n"/>
      <c r="F30" s="466" t="n"/>
      <c r="H30" s="38" t="n"/>
      <c r="I30" s="38" t="n"/>
      <c r="J30" s="38" t="n"/>
      <c r="K30" s="39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2" t="n"/>
    </row>
    <row r="31" ht="17.25" customHeight="1" s="462">
      <c r="B31" s="41" t="n"/>
      <c r="C31" s="42" t="n"/>
      <c r="D31" s="43" t="n"/>
      <c r="E31" s="44" t="n"/>
      <c r="F31" s="349" t="n"/>
      <c r="H31" s="38" t="n"/>
      <c r="I31" s="38" t="n"/>
      <c r="J31" s="38" t="n"/>
      <c r="K31" s="39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2" t="n"/>
    </row>
    <row r="32" ht="17.25" customHeight="1" s="462">
      <c r="B32" s="45" t="n">
        <v>7290</v>
      </c>
      <c r="C32" s="21" t="inlineStr">
        <is>
          <t>佐藤</t>
        </is>
      </c>
      <c r="D32" s="35" t="n"/>
      <c r="E32" s="348" t="n"/>
      <c r="F32" s="349" t="n"/>
      <c r="H32" s="38" t="n"/>
      <c r="I32" s="38" t="n"/>
      <c r="J32" s="38" t="n"/>
      <c r="K32" s="39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2" t="n"/>
    </row>
    <row r="33" ht="16.5" customHeight="1" s="462">
      <c r="B33" s="45" t="n">
        <v>7291</v>
      </c>
      <c r="C33" s="21" t="inlineStr">
        <is>
          <t>末次</t>
        </is>
      </c>
      <c r="D33" s="35" t="n"/>
      <c r="E33" s="348" t="n"/>
      <c r="F33" s="349" t="n"/>
      <c r="H33" s="38" t="n"/>
      <c r="I33" s="38" t="n"/>
      <c r="J33" s="38" t="n"/>
      <c r="K33" s="39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2" t="n"/>
    </row>
    <row r="34" ht="16.5" customHeight="1" s="462">
      <c r="B34" s="41" t="n"/>
      <c r="C34" s="42" t="n"/>
      <c r="D34" s="44" t="n"/>
      <c r="E34" s="44" t="n"/>
      <c r="F34" s="349" t="n"/>
      <c r="H34" s="38" t="n"/>
      <c r="I34" s="38" t="n"/>
      <c r="J34" s="38" t="n"/>
      <c r="K34" s="39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2" t="n"/>
    </row>
    <row r="35" ht="8.25" customHeight="1" s="462">
      <c r="B35" s="45" t="n">
        <v>333</v>
      </c>
      <c r="C35" s="21" t="inlineStr">
        <is>
          <t>金井/奥田</t>
        </is>
      </c>
      <c r="D35" s="35" t="n"/>
      <c r="E35" s="484" t="n"/>
      <c r="F35" s="469" t="n"/>
      <c r="H35" s="38" t="n"/>
      <c r="I35" s="38" t="n"/>
      <c r="J35" s="38" t="n"/>
      <c r="K35" s="39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2" t="n"/>
    </row>
    <row r="36" ht="17.25" customHeight="1" s="462">
      <c r="B36" s="46" t="n">
        <v>666</v>
      </c>
      <c r="C36" s="21" t="inlineStr">
        <is>
          <t>徳留</t>
        </is>
      </c>
      <c r="D36" s="35" t="n"/>
      <c r="E36" s="35" t="n"/>
      <c r="F36" s="466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2" t="n"/>
    </row>
    <row r="37" ht="17.25" customHeight="1" s="462">
      <c r="B37" s="46" t="n">
        <v>777</v>
      </c>
      <c r="C37" s="21" t="n"/>
      <c r="D37" s="35" t="n"/>
      <c r="E37" s="348" t="n"/>
      <c r="F37" s="349" t="n"/>
      <c r="H37" s="38" t="n"/>
      <c r="I37" s="38" t="n"/>
      <c r="J37" s="38" t="n"/>
      <c r="K37" s="39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2" t="n"/>
    </row>
    <row r="38" ht="9" customHeight="1" s="462">
      <c r="B38" s="47" t="n">
        <v>330</v>
      </c>
      <c r="C38" s="21" t="n"/>
      <c r="D38" s="35" t="n"/>
      <c r="E38" s="35" t="n"/>
      <c r="F38" s="466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2" t="n"/>
    </row>
    <row r="39" ht="16.5" customHeight="1" s="462">
      <c r="B39" s="47" t="n">
        <v>990</v>
      </c>
      <c r="C39" s="21" t="inlineStr">
        <is>
          <t>山原</t>
        </is>
      </c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2" t="n"/>
    </row>
    <row r="40" ht="16.5" customHeight="1" s="462">
      <c r="K40" s="2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2" t="n"/>
    </row>
    <row r="41" ht="16.5" customHeight="1" s="462">
      <c r="C41" s="449" t="inlineStr">
        <is>
          <t>出発→到着</t>
        </is>
      </c>
      <c r="D41" s="420" t="inlineStr">
        <is>
          <t>備考</t>
        </is>
      </c>
      <c r="K41" s="2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2" t="n"/>
    </row>
    <row r="42" ht="16.5" customHeight="1" s="462">
      <c r="B42" s="27" t="inlineStr">
        <is>
          <t>①</t>
        </is>
      </c>
      <c r="C42" s="449" t="inlineStr">
        <is>
          <t>東→西</t>
        </is>
      </c>
      <c r="D42" s="485" t="inlineStr">
        <is>
          <t>①Aチーム優先</t>
        </is>
      </c>
      <c r="E42" s="486" t="n"/>
      <c r="F42" s="486" t="n"/>
      <c r="G42" s="486" t="n"/>
      <c r="H42" s="486" t="n"/>
      <c r="I42" s="486" t="n"/>
      <c r="J42" s="466" t="n"/>
      <c r="K42" s="2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2" t="n"/>
    </row>
    <row r="43" ht="16.5" customHeight="1" s="462">
      <c r="B43" s="27" t="inlineStr">
        <is>
          <t>②</t>
        </is>
      </c>
      <c r="C43" s="449" t="inlineStr">
        <is>
          <t>東→東</t>
        </is>
      </c>
      <c r="D43" s="485" t="inlineStr">
        <is>
          <t>②急ぎ案件の場合、道路状況も伝えてあげる。</t>
        </is>
      </c>
      <c r="E43" s="486" t="n"/>
      <c r="F43" s="486" t="n"/>
      <c r="G43" s="486" t="n"/>
      <c r="H43" s="486" t="n"/>
      <c r="I43" s="486" t="n"/>
      <c r="J43" s="466" t="n"/>
      <c r="K43" s="2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2" t="n"/>
    </row>
    <row r="44">
      <c r="B44" s="27" t="inlineStr">
        <is>
          <t>③</t>
        </is>
      </c>
      <c r="C44" s="449" t="inlineStr">
        <is>
          <t>西→東</t>
        </is>
      </c>
      <c r="D44" s="485" t="inlineStr">
        <is>
          <t>③各ドライバーの位置からの帰社のタイミング・夕方の配置</t>
        </is>
      </c>
      <c r="E44" s="486" t="n"/>
      <c r="F44" s="486" t="n"/>
      <c r="G44" s="486" t="n"/>
      <c r="H44" s="486" t="n"/>
      <c r="I44" s="486" t="n"/>
      <c r="J44" s="466" t="n"/>
      <c r="K44" s="2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</row>
    <row r="45">
      <c r="B45" s="27" t="inlineStr">
        <is>
          <t>④</t>
        </is>
      </c>
      <c r="C45" s="449" t="inlineStr">
        <is>
          <t>西→西</t>
        </is>
      </c>
      <c r="D45" s="485" t="inlineStr">
        <is>
          <t>④依頼を受ける際の、希望時間と現状の位置。行けるか行けないかの判断をしっかりと。</t>
        </is>
      </c>
      <c r="E45" s="486" t="n"/>
      <c r="F45" s="486" t="n"/>
      <c r="G45" s="486" t="n"/>
      <c r="H45" s="486" t="n"/>
      <c r="I45" s="486" t="n"/>
      <c r="J45" s="466" t="n"/>
      <c r="K45" s="2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</row>
    <row r="46">
      <c r="D46" s="485" t="inlineStr">
        <is>
          <t>⑤軽に乗るか乗らないかの判断に気を付ける。</t>
        </is>
      </c>
      <c r="E46" s="486" t="n"/>
      <c r="F46" s="486" t="n"/>
      <c r="G46" s="486" t="n"/>
      <c r="H46" s="486" t="n"/>
      <c r="I46" s="486" t="n"/>
      <c r="J46" s="466" t="n"/>
      <c r="K46" s="2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2" t="n"/>
    </row>
    <row r="47">
      <c r="B47" s="22" t="n"/>
      <c r="C47" s="420" t="inlineStr">
        <is>
          <t>現状配置(予測)</t>
        </is>
      </c>
      <c r="D47" s="485" t="inlineStr">
        <is>
          <t>⑥18/1日、1.8/1人、3件/1人</t>
        </is>
      </c>
      <c r="E47" s="486" t="n"/>
      <c r="F47" s="486" t="n"/>
      <c r="G47" s="486" t="n"/>
      <c r="H47" s="486" t="n"/>
      <c r="I47" s="486" t="n"/>
      <c r="J47" s="466" t="n"/>
      <c r="L47" s="2" t="n"/>
    </row>
    <row r="48">
      <c r="B48" s="420" t="inlineStr">
        <is>
          <t>西(神戸西・弥栄台)</t>
        </is>
      </c>
      <c r="C48" s="420" t="n"/>
      <c r="D48" s="485" t="inlineStr">
        <is>
          <t>⑦依頼書の見落とし(日付、入替、入出庫、場所）</t>
        </is>
      </c>
      <c r="E48" s="486" t="n"/>
      <c r="F48" s="486" t="n"/>
      <c r="G48" s="486" t="n"/>
      <c r="H48" s="486" t="n"/>
      <c r="I48" s="486" t="n"/>
      <c r="J48" s="466" t="n"/>
      <c r="L48" s="2" t="n"/>
    </row>
    <row r="49">
      <c r="B49" s="420" t="inlineStr">
        <is>
          <t>真ん中(摩耶・中央)</t>
        </is>
      </c>
      <c r="C49" s="420" t="n"/>
      <c r="D49" s="485" t="inlineStr">
        <is>
          <t>⑧3ｔ車と2ｔ車への振り方(西と東に振り分ける)</t>
        </is>
      </c>
      <c r="E49" s="486" t="n"/>
      <c r="F49" s="486" t="n"/>
      <c r="G49" s="486" t="n"/>
      <c r="H49" s="486" t="n"/>
      <c r="I49" s="486" t="n"/>
      <c r="J49" s="466" t="n"/>
      <c r="L49" s="2" t="n"/>
    </row>
    <row r="50">
      <c r="B50" s="420" t="inlineStr">
        <is>
          <t>東(尼崎・伊丹・西宮)</t>
        </is>
      </c>
      <c r="C50" s="420" t="n"/>
      <c r="D50" s="485" t="inlineStr">
        <is>
          <t>⑨</t>
        </is>
      </c>
      <c r="E50" s="486" t="n"/>
      <c r="F50" s="486" t="n"/>
      <c r="G50" s="486" t="n"/>
      <c r="H50" s="486" t="n"/>
      <c r="I50" s="486" t="n"/>
      <c r="J50" s="466" t="n"/>
      <c r="L50" s="2" t="n"/>
    </row>
    <row r="51">
      <c r="B51" s="48" t="inlineStr">
        <is>
          <t>極東(港区・淀屋橋)</t>
        </is>
      </c>
      <c r="C51" s="420" t="n"/>
      <c r="D51" s="49" t="n"/>
      <c r="E51" s="49" t="n"/>
      <c r="F51" s="49" t="n"/>
      <c r="G51" s="49" t="n"/>
      <c r="H51" s="49" t="n"/>
      <c r="I51" s="49" t="n"/>
      <c r="J51" s="49" t="n"/>
      <c r="L51" s="2" t="n"/>
    </row>
    <row r="52" ht="14.25" customHeight="1" s="462" thickBot="1">
      <c r="L52" s="2" t="n"/>
    </row>
    <row r="53">
      <c r="C53" s="473" t="inlineStr">
        <is>
          <t>合計額/380</t>
        </is>
      </c>
      <c r="D53" s="358">
        <f>SUM(G53)</f>
        <v/>
      </c>
      <c r="F53" s="360" t="inlineStr">
        <is>
          <t>売り上げ額</t>
        </is>
      </c>
      <c r="G53" s="362">
        <f>SUM(SUM(K4:K19))+SUM('6　13 (2)'!K4:K39)</f>
        <v/>
      </c>
      <c r="H53" s="465" t="n"/>
      <c r="I53" s="465" t="n"/>
      <c r="J53" s="467" t="n"/>
      <c r="L53" s="2" t="n"/>
    </row>
    <row r="54" ht="14.25" customHeight="1" s="462" thickBot="1">
      <c r="C54" s="474" t="n"/>
      <c r="D54" s="475" t="n"/>
      <c r="F54" s="468" t="n"/>
      <c r="G54" s="476" t="n"/>
      <c r="H54" s="477" t="n"/>
      <c r="I54" s="477" t="n"/>
      <c r="J54" s="469" t="n"/>
      <c r="L54" s="2" t="n"/>
    </row>
    <row r="55">
      <c r="C55" s="478" t="inlineStr">
        <is>
          <t>前日までの売上合計額</t>
        </is>
      </c>
      <c r="D55" s="479">
        <f>SUM('6　12'!D56:D57)</f>
        <v/>
      </c>
      <c r="L55" s="2" t="n"/>
    </row>
    <row r="56" ht="14.25" customHeight="1" s="462" thickBot="1">
      <c r="C56" s="480" t="n"/>
      <c r="D56" s="480" t="n"/>
      <c r="F56" s="420" t="inlineStr">
        <is>
          <t>金井（55)</t>
        </is>
      </c>
      <c r="G56" s="345" t="n"/>
      <c r="H56" s="466" t="n"/>
      <c r="I56" s="130" t="n"/>
      <c r="L56" s="2" t="n"/>
    </row>
    <row r="57" ht="14.25" customHeight="1" s="462" thickTop="1">
      <c r="D57" s="346">
        <f>D53+D55</f>
        <v/>
      </c>
      <c r="F57" s="420" t="inlineStr">
        <is>
          <t>粟津(55)</t>
        </is>
      </c>
      <c r="G57" s="340" t="n"/>
      <c r="H57" s="466" t="n"/>
      <c r="I57" s="131" t="n"/>
      <c r="L57" s="2" t="n"/>
    </row>
    <row r="58">
      <c r="F58" s="420" t="inlineStr">
        <is>
          <t>砂川(50)</t>
        </is>
      </c>
      <c r="G58" s="340" t="n"/>
      <c r="H58" s="466" t="n"/>
      <c r="I58" s="131" t="n"/>
      <c r="L58" s="2" t="n"/>
    </row>
    <row r="59">
      <c r="C59" s="2" t="inlineStr">
        <is>
          <t>高代</t>
        </is>
      </c>
      <c r="F59" s="420" t="inlineStr">
        <is>
          <t>前川(50)</t>
        </is>
      </c>
      <c r="G59" s="340" t="n"/>
      <c r="H59" s="466" t="n"/>
      <c r="I59" s="131" t="n"/>
      <c r="L59" s="2" t="n"/>
    </row>
    <row r="60">
      <c r="C60" s="2" t="inlineStr">
        <is>
          <t>返還代</t>
        </is>
      </c>
      <c r="F60" s="420" t="inlineStr">
        <is>
          <t>佐藤(50)</t>
        </is>
      </c>
      <c r="G60" s="345" t="n"/>
      <c r="H60" s="466" t="n"/>
      <c r="I60" s="130" t="n"/>
      <c r="L60" s="2" t="n"/>
    </row>
    <row r="61">
      <c r="C61" s="2" t="inlineStr">
        <is>
          <t>回収率</t>
        </is>
      </c>
      <c r="D61" s="50">
        <f>D60/D59</f>
        <v/>
      </c>
      <c r="F61" s="420" t="inlineStr">
        <is>
          <t>末次(55)</t>
        </is>
      </c>
      <c r="G61" s="340" t="n"/>
      <c r="H61" s="466" t="n"/>
      <c r="I61" s="131" t="n"/>
      <c r="L61" s="2" t="n"/>
    </row>
    <row r="62">
      <c r="C62" s="2" t="inlineStr">
        <is>
          <t>費</t>
        </is>
      </c>
      <c r="D62" s="2">
        <f>D59-D60</f>
        <v/>
      </c>
      <c r="F62" s="420" t="inlineStr">
        <is>
          <t>筒井(75)</t>
        </is>
      </c>
      <c r="G62" s="340" t="n"/>
      <c r="H62" s="466" t="n"/>
      <c r="I62" s="131" t="n"/>
      <c r="L62" s="2" t="n"/>
    </row>
    <row r="63">
      <c r="F63" s="420" t="inlineStr">
        <is>
          <t>山岸(40)</t>
        </is>
      </c>
      <c r="G63" s="340" t="n"/>
      <c r="H63" s="466" t="n"/>
      <c r="I63" s="131" t="n"/>
      <c r="L63" s="2" t="n"/>
    </row>
    <row r="64" ht="17.25" customHeight="1" s="462">
      <c r="B64" s="71" t="n"/>
      <c r="F64" s="420" t="inlineStr">
        <is>
          <t>多苗(30)</t>
        </is>
      </c>
      <c r="G64" s="340" t="n"/>
      <c r="H64" s="466" t="n"/>
      <c r="I64" s="131" t="n"/>
      <c r="L64" s="2" t="inlineStr">
        <is>
          <t> </t>
        </is>
      </c>
    </row>
    <row r="65">
      <c r="L65" s="2" t="n"/>
    </row>
    <row r="66">
      <c r="L66" s="2" t="n"/>
    </row>
    <row r="68" ht="23.25" customHeight="1" s="462"/>
  </sheetData>
  <mergeCells count="52">
    <mergeCell ref="F53:F54"/>
    <mergeCell ref="Q16:R16"/>
    <mergeCell ref="G59:H59"/>
    <mergeCell ref="Q3:R3"/>
    <mergeCell ref="H24:J25"/>
    <mergeCell ref="E24:F24"/>
    <mergeCell ref="E23:F23"/>
    <mergeCell ref="G61:H61"/>
    <mergeCell ref="D42:J42"/>
    <mergeCell ref="E39:F39"/>
    <mergeCell ref="G53:J54"/>
    <mergeCell ref="E35:F35"/>
    <mergeCell ref="K22:K23"/>
    <mergeCell ref="B2:C2"/>
    <mergeCell ref="E38:F38"/>
    <mergeCell ref="D57:D58"/>
    <mergeCell ref="D50:J50"/>
    <mergeCell ref="E29:F29"/>
    <mergeCell ref="K27:K28"/>
    <mergeCell ref="D44:J44"/>
    <mergeCell ref="Q5:R5"/>
    <mergeCell ref="G57:H57"/>
    <mergeCell ref="E28:F28"/>
    <mergeCell ref="C55:C56"/>
    <mergeCell ref="Q19:R19"/>
    <mergeCell ref="G62:H62"/>
    <mergeCell ref="Q4:R4"/>
    <mergeCell ref="D53:D54"/>
    <mergeCell ref="D46:J46"/>
    <mergeCell ref="E30:F30"/>
    <mergeCell ref="Q15:R15"/>
    <mergeCell ref="D45:J45"/>
    <mergeCell ref="E27:F27"/>
    <mergeCell ref="G58:H58"/>
    <mergeCell ref="E36:F36"/>
    <mergeCell ref="D55:D56"/>
    <mergeCell ref="E26:F26"/>
    <mergeCell ref="H22:J23"/>
    <mergeCell ref="D49:J49"/>
    <mergeCell ref="G64:H64"/>
    <mergeCell ref="C53:C54"/>
    <mergeCell ref="Q17:R17"/>
    <mergeCell ref="D48:J48"/>
    <mergeCell ref="E25:F25"/>
    <mergeCell ref="G63:H63"/>
    <mergeCell ref="D47:J47"/>
    <mergeCell ref="H27:J28"/>
    <mergeCell ref="E22:F22"/>
    <mergeCell ref="K24:K25"/>
    <mergeCell ref="G60:H60"/>
    <mergeCell ref="D43:J43"/>
    <mergeCell ref="G56:H56"/>
  </mergeCells>
  <conditionalFormatting sqref="L3:L19">
    <cfRule type="cellIs" priority="3" operator="greaterThan" dxfId="0">
      <formula>30</formula>
    </cfRule>
  </conditionalFormatting>
  <conditionalFormatting sqref="K24:K25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7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47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N86"/>
  <sheetViews>
    <sheetView topLeftCell="A7" zoomScale="70" zoomScaleNormal="70" workbookViewId="0">
      <selection activeCell="C19" sqref="C19:F19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1.2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10"/>
    <col width="18" customWidth="1" style="2" min="11" max="11"/>
    <col width="9.375" customWidth="1" style="452" min="12" max="12"/>
    <col width="8.75" customWidth="1" style="2" min="13" max="16384"/>
  </cols>
  <sheetData>
    <row r="1"/>
    <row r="2" ht="15" customHeight="1" s="462" thickBot="1">
      <c r="B2" s="492" t="n">
        <v>46186</v>
      </c>
      <c r="D2" s="2" t="inlineStr">
        <is>
          <t>NO.1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2" t="inlineStr">
        <is>
          <t>メモ</t>
        </is>
      </c>
      <c r="N3" s="464" t="n"/>
    </row>
    <row r="4" ht="48.75" customHeight="1" s="462">
      <c r="A4" s="423" t="n"/>
      <c r="B4" s="324" t="inlineStr">
        <is>
          <t>多苗：16時まで
藤岡：13時出勤</t>
        </is>
      </c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465" t="n"/>
    </row>
    <row r="5" ht="50.25" customHeight="1" s="462">
      <c r="A5" s="423">
        <f>IF(B5="","",COUNTA($B$5:B5))</f>
        <v/>
      </c>
      <c r="B5" s="57" t="n"/>
      <c r="C5" s="64" t="n"/>
      <c r="D5" s="133" t="n"/>
      <c r="E5" s="441" t="n"/>
      <c r="F5" s="274" t="n"/>
      <c r="G5" s="59" t="n"/>
      <c r="H5" s="260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260" t="n"/>
      <c r="I6" s="427">
        <f>IFERROR(_xlfn.XLOOKUP(H6,案件・ドライバー一覧!$L$3:$L$17,案件・ドライバー一覧!$M$3:$M$17,""),"")</f>
        <v/>
      </c>
      <c r="J6" s="57" t="n"/>
      <c r="K6" s="72" t="n"/>
      <c r="L6" s="61" t="n"/>
      <c r="M6" s="449" t="n"/>
      <c r="N6" s="449" t="n"/>
    </row>
    <row r="7" ht="27" customHeight="1" s="462">
      <c r="A7" s="423">
        <f>IF(B7="","",COUNTA($B$5:B7))</f>
        <v/>
      </c>
      <c r="B7" s="57" t="n"/>
      <c r="C7" s="441" t="n"/>
      <c r="D7" s="133" t="n"/>
      <c r="E7" s="441" t="n"/>
      <c r="F7" s="274" t="n"/>
      <c r="G7" s="59" t="n"/>
      <c r="H7" s="260" t="n"/>
      <c r="I7" s="295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</row>
    <row r="8" ht="27" customHeight="1" s="462">
      <c r="A8" s="423">
        <f>IF(B8="","",COUNTA($B$5:B8))</f>
        <v/>
      </c>
      <c r="B8" s="57" t="n"/>
      <c r="C8" s="64" t="n"/>
      <c r="D8" s="441" t="n"/>
      <c r="E8" s="63" t="n"/>
      <c r="F8" s="441" t="n"/>
      <c r="G8" s="65" t="n"/>
      <c r="H8" s="260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</row>
    <row r="9" ht="27" customHeight="1" s="462">
      <c r="A9" s="423">
        <f>IF(B9="","",COUNTA($B$5:B9))</f>
        <v/>
      </c>
      <c r="B9" s="57" t="n"/>
      <c r="C9" s="441" t="n"/>
      <c r="D9" s="63" t="n"/>
      <c r="E9" s="441" t="n"/>
      <c r="F9" s="57" t="n"/>
      <c r="G9" s="207" t="n"/>
      <c r="H9" s="260" t="n"/>
      <c r="I9" s="295">
        <f>IFERROR(_xlfn.XLOOKUP(H9,案件・ドライバー一覧!$L$3:$L$17,案件・ドライバー一覧!$M$3:$M$17,""),"")</f>
        <v/>
      </c>
      <c r="J9" s="57" t="n"/>
      <c r="K9" s="73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260" t="n"/>
      <c r="I10" s="295">
        <f>IFERROR(_xlfn.XLOOKUP(H10,案件・ドライバー一覧!$L$3:$L$17,案件・ドライバー一覧!$M$3:$M$17,""),"")</f>
        <v/>
      </c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</row>
    <row r="11" ht="67.5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260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</row>
    <row r="12" ht="40.5" customHeight="1" s="462">
      <c r="A12" s="423">
        <f>IF(B12="","",COUNTA($B$5:B12))</f>
        <v/>
      </c>
      <c r="B12" s="441" t="n"/>
      <c r="C12" s="63" t="n"/>
      <c r="D12" s="441" t="n"/>
      <c r="E12" s="441" t="n"/>
      <c r="F12" s="57" t="n"/>
      <c r="G12" s="65" t="n"/>
      <c r="H12" s="260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64" t="n"/>
      <c r="F13" s="274" t="n"/>
      <c r="G13" s="247" t="n"/>
      <c r="H13" s="260" t="n"/>
      <c r="I13" s="296">
        <f>IFERROR(_xlfn.XLOOKUP(H13,案件・ドライバー一覧!$L$3:$L$17,案件・ドライバー一覧!$M$3:$M$17,""),"")</f>
        <v/>
      </c>
      <c r="J13" s="420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64" t="n"/>
      <c r="F14" s="57" t="n"/>
      <c r="G14" s="65" t="n"/>
      <c r="H14" s="260" t="n"/>
      <c r="I14" s="295">
        <f>IFERROR(_xlfn.XLOOKUP(H14,案件・ドライバー一覧!$L$3:$L$17,案件・ドライバー一覧!$M$3:$M$17,""),"")</f>
        <v/>
      </c>
      <c r="J14" s="57" t="n"/>
      <c r="K14" s="72" t="n"/>
      <c r="L14" s="61" t="n"/>
      <c r="M14" s="449" t="n"/>
      <c r="N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260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</row>
    <row r="16" ht="28.5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260" t="n"/>
      <c r="I16" s="427">
        <f>IFERROR(_xlfn.XLOOKUP(H16,案件・ドライバー一覧!$L$3:$L$17,案件・ドライバー一覧!$M$3:$M$17,""),"")</f>
        <v/>
      </c>
      <c r="J16" s="57" t="n"/>
      <c r="K16" s="72" t="n"/>
      <c r="L16" s="61" t="n"/>
      <c r="M16" s="449" t="n"/>
      <c r="N16" s="449" t="n"/>
    </row>
    <row r="17" ht="54" customHeight="1" s="462">
      <c r="A17" s="423">
        <f>IF(B17="","",COUNTA($B$5:B17))</f>
        <v/>
      </c>
      <c r="B17" s="441" t="n"/>
      <c r="C17" s="63" t="n"/>
      <c r="D17" s="441" t="n"/>
      <c r="E17" s="441" t="n"/>
      <c r="F17" s="274" t="n"/>
      <c r="G17" s="65" t="n"/>
      <c r="H17" s="260" t="n"/>
      <c r="I17" s="119">
        <f>IFERROR(_xlfn.XLOOKUP(H17,案件・ドライバー一覧!$L$3:$L$17,案件・ドライバー一覧!$M$3:$M$17,""),"")</f>
        <v/>
      </c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260" t="n"/>
      <c r="I18" s="119">
        <f>IFERROR(_xlfn.XLOOKUP(H18,案件・ドライバー一覧!$L$3:$L$17,案件・ドライバー一覧!$M$3:$M$17,""),"")</f>
        <v/>
      </c>
      <c r="J18" s="57" t="n"/>
      <c r="K18" s="72" t="n"/>
      <c r="L18" s="61" t="n"/>
      <c r="M18" s="449" t="n"/>
      <c r="N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260" t="n"/>
      <c r="I19" s="119">
        <f>IFERROR(_xlfn.XLOOKUP(H19,案件・ドライバー一覧!$L$3:$L$17,案件・ドライバー一覧!$M$3:$M$17,""),"")</f>
        <v/>
      </c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</row>
    <row r="20" ht="24.75" customHeight="1" s="462">
      <c r="A20" s="423">
        <f>IF(B20="","",COUNTA($B$5:B20))</f>
        <v/>
      </c>
      <c r="B20" s="57" t="n"/>
      <c r="C20" s="63" t="n"/>
      <c r="D20" s="441" t="n"/>
      <c r="E20" s="441" t="n"/>
      <c r="F20" s="57" t="n"/>
      <c r="G20" s="65" t="n"/>
      <c r="H20" s="260" t="n"/>
      <c r="I20" s="119">
        <f>IFERROR(_xlfn.XLOOKUP(H20,案件・ドライバー一覧!$L$3:$L$17,案件・ドライバー一覧!$M$3:$M$17,""),"")</f>
        <v/>
      </c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</row>
    <row r="21" ht="24.75" customHeight="1" s="462">
      <c r="A21" s="423">
        <f>IF(B21="","",COUNTA($B$5:B21))</f>
        <v/>
      </c>
      <c r="B21" s="57" t="n"/>
      <c r="C21" s="63" t="n"/>
      <c r="D21" s="441" t="n"/>
      <c r="E21" s="441" t="n"/>
      <c r="F21" s="57" t="n"/>
      <c r="G21" s="65" t="n"/>
      <c r="H21" s="260" t="n"/>
      <c r="I21" s="119">
        <f>IFERROR(_xlfn.XLOOKUP(H21,案件・ドライバー一覧!$L$3:$L$17,案件・ドライバー一覧!$M$3:$M$17,""),"")</f>
        <v/>
      </c>
      <c r="J21" s="57" t="n"/>
      <c r="K21" s="72" t="n"/>
      <c r="L21" s="61" t="n"/>
      <c r="M21" s="449" t="n"/>
      <c r="N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65" t="n"/>
      <c r="H22" s="260" t="n"/>
      <c r="I22" s="119">
        <f>IFERROR(_xlfn.XLOOKUP(H22,案件・ドライバー一覧!$L$3:$L$17,案件・ドライバー一覧!$M$3:$M$17,""),"")</f>
        <v/>
      </c>
      <c r="J22" s="57" t="n"/>
      <c r="K22" s="72" t="n"/>
      <c r="L22" s="61" t="n"/>
      <c r="M22" s="449" t="n"/>
      <c r="N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129" t="n"/>
      <c r="F23" s="57" t="n"/>
      <c r="G23" s="65" t="n"/>
      <c r="H23" s="260" t="n"/>
      <c r="I23" s="119">
        <f>IFERROR(_xlfn.XLOOKUP(H23,案件・ドライバー一覧!$L$3:$L$17,案件・ドライバー一覧!$M$3:$M$17,""),"")</f>
        <v/>
      </c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</row>
    <row r="24" ht="27" customHeight="1" s="462">
      <c r="A24" s="423">
        <f>IF(B24="","",COUNTA($B$5:B24))</f>
        <v/>
      </c>
      <c r="B24" s="441" t="n"/>
      <c r="C24" s="63" t="n"/>
      <c r="D24" s="64" t="n"/>
      <c r="E24" s="63" t="n"/>
      <c r="F24" s="57" t="n"/>
      <c r="G24" s="247" t="n"/>
      <c r="H24" s="260" t="n"/>
      <c r="I24" s="120">
        <f>IFERROR(_xlfn.XLOOKUP(H24,案件・ドライバー一覧!$L$3:$L$17,案件・ドライバー一覧!$M$3:$M$17,""),"")</f>
        <v/>
      </c>
      <c r="J24" s="420" t="n"/>
      <c r="K24" s="73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</row>
    <row r="25" ht="28.5" customHeight="1" s="462">
      <c r="A25" s="423">
        <f>IF(B25="","",COUNTA($B$5:B25))</f>
        <v/>
      </c>
      <c r="B25" s="57" t="n"/>
      <c r="C25" s="63" t="n"/>
      <c r="D25" s="441" t="n"/>
      <c r="E25" s="441" t="n"/>
      <c r="F25" s="274" t="n"/>
      <c r="G25" s="65" t="n"/>
      <c r="H25" s="260" t="n"/>
      <c r="I25" s="119">
        <f>IFERROR(_xlfn.XLOOKUP(H25,案件・ドライバー一覧!$L$3:$L$17,案件・ドライバー一覧!$M$3:$M$17,""),"")</f>
        <v/>
      </c>
      <c r="J25" s="57" t="n"/>
      <c r="K25" s="72" t="n"/>
      <c r="L25" s="61" t="n"/>
      <c r="M25" s="449" t="n"/>
      <c r="N25" s="449" t="n"/>
    </row>
    <row r="26" ht="28.5" customHeight="1" s="462">
      <c r="A26" s="423">
        <f>IF(B26="","",COUNTA($B$5:B26))</f>
        <v/>
      </c>
      <c r="B26" s="57" t="n"/>
      <c r="C26" s="63" t="n"/>
      <c r="D26" s="63" t="n"/>
      <c r="E26" s="441" t="n"/>
      <c r="F26" s="57" t="n"/>
      <c r="G26" s="65" t="n"/>
      <c r="H26" s="260" t="n"/>
      <c r="I26" s="119">
        <f>IFERROR(_xlfn.XLOOKUP(H26,案件・ドライバー一覧!$L$3:$L$17,案件・ドライバー一覧!$M$3:$M$17,""),"")</f>
        <v/>
      </c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</row>
    <row r="27" ht="39.75" customHeight="1" s="462">
      <c r="A27" s="423">
        <f>IF(B27="","",COUNTA($B$5:B27))</f>
        <v/>
      </c>
      <c r="B27" s="57" t="n"/>
      <c r="C27" s="64" t="n"/>
      <c r="D27" s="441" t="n"/>
      <c r="E27" s="441" t="n"/>
      <c r="F27" s="275" t="n"/>
      <c r="G27" s="66" t="n"/>
      <c r="H27" s="260" t="n"/>
      <c r="I27" s="119">
        <f>IFERROR(_xlfn.XLOOKUP(H27,案件・ドライバー一覧!$L$3:$L$17,案件・ドライバー一覧!$M$3:$M$17,""),"")</f>
        <v/>
      </c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</row>
    <row r="28" ht="51" customHeight="1" s="462">
      <c r="A28" s="423">
        <f>IF(B28="","",COUNTA($B$5:B28))</f>
        <v/>
      </c>
      <c r="B28" s="57" t="n"/>
      <c r="C28" s="441" t="n"/>
      <c r="D28" s="441" t="n"/>
      <c r="E28" s="441" t="n"/>
      <c r="F28" s="275" t="n"/>
      <c r="G28" s="66" t="n"/>
      <c r="H28" s="260" t="n"/>
      <c r="I28" s="119">
        <f>IFERROR(_xlfn.XLOOKUP(H28,案件・ドライバー一覧!$L$3:$L$17,案件・ドライバー一覧!$M$3:$M$17,""),"")</f>
        <v/>
      </c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</row>
    <row r="29" ht="29.25" customHeight="1" s="462">
      <c r="A29" s="423">
        <f>IF(B29="","",COUNTA($B$5:B29))</f>
        <v/>
      </c>
      <c r="B29" s="57" t="n"/>
      <c r="C29" s="63" t="n"/>
      <c r="D29" s="441" t="n"/>
      <c r="E29" s="441" t="n"/>
      <c r="F29" s="57" t="n"/>
      <c r="G29" s="65" t="n"/>
      <c r="H29" s="260" t="n"/>
      <c r="I29" s="119">
        <f>IFERROR(_xlfn.XLOOKUP(H29,案件・ドライバー一覧!$L$3:$L$17,案件・ドライバー一覧!$M$3:$M$17,""),"")</f>
        <v/>
      </c>
      <c r="J29" s="57" t="n"/>
      <c r="K29" s="72" t="n"/>
      <c r="L29" s="61" t="n"/>
      <c r="M29" s="449" t="n"/>
      <c r="N29" s="449" t="n"/>
    </row>
    <row r="30" ht="27.75" customHeight="1" s="462">
      <c r="A30" s="423">
        <f>IF(B30="","",COUNTA($B$5:B30))</f>
        <v/>
      </c>
      <c r="B30" s="441" t="n"/>
      <c r="C30" s="441" t="n"/>
      <c r="D30" s="441" t="n"/>
      <c r="E30" s="441" t="n"/>
      <c r="F30" s="57" t="n"/>
      <c r="G30" s="65" t="n"/>
      <c r="H30" s="260" t="n"/>
      <c r="I30" s="120">
        <f>IFERROR(_xlfn.XLOOKUP(H30,案件・ドライバー一覧!$L$3:$L$17,案件・ドライバー一覧!$M$3:$M$17,""),"")</f>
        <v/>
      </c>
      <c r="J30" s="420" t="n"/>
      <c r="K30" s="72" t="n"/>
      <c r="L30" s="61" t="n"/>
      <c r="M30" s="449" t="n"/>
    </row>
    <row r="31" ht="37.5" customHeight="1" s="462">
      <c r="A31" s="423">
        <f>IF(B31="","",COUNTA($B$5:B31))</f>
        <v/>
      </c>
      <c r="B31" s="441" t="n"/>
      <c r="C31" s="63" t="n"/>
      <c r="D31" s="441" t="n"/>
      <c r="E31" s="441" t="n"/>
      <c r="F31" s="57" t="n"/>
      <c r="G31" s="65" t="n"/>
      <c r="H31" s="260" t="n"/>
      <c r="I31" s="119">
        <f>IFERROR(_xlfn.XLOOKUP(H31,案件・ドライバー一覧!$L$3:$L$17,案件・ドライバー一覧!$M$3:$M$17,""),"")</f>
        <v/>
      </c>
      <c r="J31" s="57" t="n"/>
      <c r="K31" s="7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</row>
    <row r="32" ht="54" customHeight="1" s="462">
      <c r="A32" s="423">
        <f>IF(B32="","",COUNTA($B$5:B32))</f>
        <v/>
      </c>
      <c r="B32" s="57" t="n"/>
      <c r="C32" s="63" t="n"/>
      <c r="D32" s="441" t="n"/>
      <c r="E32" s="441" t="n"/>
      <c r="F32" s="274" t="n"/>
      <c r="G32" s="65" t="n"/>
      <c r="H32" s="260" t="n"/>
      <c r="I32" s="119">
        <f>IFERROR(_xlfn.XLOOKUP(H32,案件・ドライバー一覧!$L$3:$L$17,案件・ドライバー一覧!$M$3:$M$17,""),"")</f>
        <v/>
      </c>
      <c r="J32" s="57" t="n"/>
      <c r="K32" s="72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M32" s="449" t="n"/>
      <c r="N32" s="449" t="n"/>
    </row>
    <row r="33" ht="36" customHeight="1" s="462">
      <c r="A33" s="423">
        <f>IF(B33="","",COUNTA($B$5:B33))</f>
        <v/>
      </c>
      <c r="B33" s="57" t="n"/>
      <c r="C33" s="64" t="n"/>
      <c r="D33" s="63" t="n"/>
      <c r="E33" s="441" t="n"/>
      <c r="F33" s="441" t="n"/>
      <c r="G33" s="65" t="n"/>
      <c r="H33" s="260" t="n"/>
      <c r="I33" s="119">
        <f>IFERROR(_xlfn.XLOOKUP(H33,案件・ドライバー一覧!$L$3:$L$17,案件・ドライバー一覧!$M$3:$M$17,""),"")</f>
        <v/>
      </c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</row>
    <row r="34" ht="27.75" customHeight="1" s="462">
      <c r="A34" s="423">
        <f>IF(B34="","",COUNTA($B$5:B34))</f>
        <v/>
      </c>
      <c r="B34" s="57" t="n"/>
      <c r="C34" s="63" t="n"/>
      <c r="D34" s="441" t="n"/>
      <c r="E34" s="441" t="n"/>
      <c r="F34" s="275" t="n"/>
      <c r="G34" s="65" t="n"/>
      <c r="H34" s="260" t="n"/>
      <c r="I34" s="119">
        <f>IFERROR(_xlfn.XLOOKUP(H34,案件・ドライバー一覧!$L$3:$L$17,案件・ドライバー一覧!$M$3:$M$17,""),"")</f>
        <v/>
      </c>
      <c r="J34" s="57" t="n"/>
      <c r="K34" s="72" t="n"/>
      <c r="L34" s="61" t="n"/>
      <c r="M34" s="449" t="n"/>
      <c r="N34" s="449" t="n"/>
    </row>
    <row r="35" ht="27.75" customHeight="1" s="462">
      <c r="A35" s="423">
        <f>IF(B35="","",COUNTA($B$5:B35))</f>
        <v/>
      </c>
      <c r="B35" s="441" t="n"/>
      <c r="C35" s="440" t="n"/>
      <c r="D35" s="441" t="n"/>
      <c r="E35" s="441" t="n"/>
      <c r="F35" s="57" t="n"/>
      <c r="G35" s="65" t="n"/>
      <c r="H35" s="260" t="n"/>
      <c r="I35" s="119">
        <f>IFERROR(_xlfn.XLOOKUP(H35,案件・ドライバー一覧!$L$3:$L$17,案件・ドライバー一覧!$M$3:$M$17,""),"")</f>
        <v/>
      </c>
      <c r="J35" s="57" t="n"/>
      <c r="K35" s="7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M35" s="449" t="n"/>
      <c r="N35" s="449" t="n"/>
    </row>
    <row r="36" ht="27.75" customHeight="1" s="462">
      <c r="A36" s="423">
        <f>IF(B36="","",COUNTA($B$5:B36))</f>
        <v/>
      </c>
      <c r="B36" s="441" t="n"/>
      <c r="C36" s="440" t="n"/>
      <c r="D36" s="441" t="n"/>
      <c r="E36" s="441" t="n"/>
      <c r="F36" s="57" t="n"/>
      <c r="G36" s="65" t="n"/>
      <c r="H36" s="260" t="n"/>
      <c r="I36" s="119">
        <f>IFERROR(_xlfn.XLOOKUP(H36,案件・ドライバー一覧!$L$3:$L$17,案件・ドライバー一覧!$M$3:$M$17,""),"")</f>
        <v/>
      </c>
      <c r="J36" s="57" t="n"/>
      <c r="K36" s="72" t="n"/>
      <c r="L36" s="61" t="n"/>
      <c r="M36" s="449" t="n"/>
      <c r="N36" s="449" t="n"/>
    </row>
    <row r="37" ht="40.5" customHeight="1" s="462">
      <c r="A37" s="423">
        <f>IF(B37="","",COUNTA($B$5:B37))</f>
        <v/>
      </c>
      <c r="B37" s="57" t="n"/>
      <c r="C37" s="63" t="n"/>
      <c r="D37" s="441" t="n"/>
      <c r="E37" s="441" t="n"/>
      <c r="F37" s="57" t="n"/>
      <c r="G37" s="65" t="n"/>
      <c r="H37" s="260" t="n"/>
      <c r="I37" s="119">
        <f>IFERROR(_xlfn.XLOOKUP(H37,案件・ドライバー一覧!$L$3:$L$17,案件・ドライバー一覧!$M$3:$M$17,""),"")</f>
        <v/>
      </c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M37" s="449" t="n"/>
      <c r="N37" s="449" t="n"/>
    </row>
    <row r="38" ht="27" customHeight="1" s="462">
      <c r="A38" s="423">
        <f>IF(B38="","",COUNTA($B$5:B38))</f>
        <v/>
      </c>
      <c r="B38" s="420" t="n"/>
      <c r="C38" s="420" t="n"/>
      <c r="D38" s="420" t="n"/>
      <c r="E38" s="420" t="n"/>
      <c r="F38" s="420" t="n"/>
      <c r="G38" s="69" t="n"/>
      <c r="H38" s="70" t="n"/>
      <c r="I38" s="70" t="n"/>
      <c r="J38" s="420" t="n"/>
      <c r="K38" s="22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M38" s="449" t="n"/>
    </row>
    <row r="39" ht="27" customHeight="1" s="462">
      <c r="A39" s="423">
        <f>IF(B39="","",COUNTA($B$5:B39))</f>
        <v/>
      </c>
      <c r="B39" s="420" t="n"/>
      <c r="C39" s="420" t="n"/>
      <c r="D39" s="420" t="n"/>
      <c r="E39" s="420" t="n"/>
      <c r="F39" s="420" t="n"/>
      <c r="G39" s="69" t="n"/>
      <c r="H39" s="70" t="n"/>
      <c r="I39" s="70" t="n"/>
      <c r="J39" s="420" t="n"/>
      <c r="K39" s="22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M39" s="449" t="n"/>
    </row>
    <row r="40">
      <c r="B40" s="18" t="n"/>
      <c r="C40" s="18" t="n"/>
      <c r="D40" s="18" t="n"/>
      <c r="E40" s="18" t="n"/>
      <c r="F40" s="18" t="n"/>
      <c r="G40" s="19" t="n"/>
      <c r="H40" s="33" t="n"/>
      <c r="I40" s="18" t="n"/>
      <c r="J40" s="18" t="n"/>
      <c r="K40" s="18" t="n"/>
      <c r="L40" s="2" t="n"/>
    </row>
    <row r="41" ht="14.25" customHeight="1" s="462" thickBot="1">
      <c r="L41" s="2" t="n"/>
    </row>
    <row r="42">
      <c r="B42" s="22" t="n"/>
      <c r="C42" s="25" t="n"/>
      <c r="D42" s="25" t="inlineStr">
        <is>
          <t>現在待機場所</t>
        </is>
      </c>
      <c r="E42" s="25" t="inlineStr">
        <is>
          <t>待機予定場所</t>
        </is>
      </c>
      <c r="F42" s="466" t="n"/>
      <c r="H42" s="375" t="inlineStr">
        <is>
          <t>目標距離</t>
        </is>
      </c>
      <c r="I42" s="465" t="n"/>
      <c r="J42" s="467" t="n"/>
      <c r="K42" s="377" t="n">
        <v>550</v>
      </c>
      <c r="L42" s="2" t="n"/>
    </row>
    <row r="43" ht="14.25" customHeight="1" s="462" thickBot="1">
      <c r="B43" s="26" t="inlineStr">
        <is>
          <t>2(255)</t>
        </is>
      </c>
      <c r="C43" s="21" t="inlineStr">
        <is>
          <t>山岸</t>
        </is>
      </c>
      <c r="D43" s="34" t="n"/>
      <c r="E43" s="34" t="n"/>
      <c r="F43" s="466" t="n"/>
      <c r="H43" s="468" t="n"/>
      <c r="I43" s="477" t="n"/>
      <c r="J43" s="469" t="n"/>
      <c r="K43" s="470" t="n"/>
      <c r="L43" s="2" t="n"/>
    </row>
    <row r="44">
      <c r="B44" s="26" t="inlineStr">
        <is>
          <t>8(254)</t>
        </is>
      </c>
      <c r="C44" s="21" t="inlineStr">
        <is>
          <t>砂川</t>
        </is>
      </c>
      <c r="D44" s="35" t="n"/>
      <c r="E44" s="35" t="n"/>
      <c r="F44" s="466" t="n"/>
      <c r="H44" s="368" t="inlineStr">
        <is>
          <t>残距離</t>
        </is>
      </c>
      <c r="J44" s="471" t="n"/>
      <c r="K44" s="354">
        <f>550-SUM(L3:L39)-SUM(#REF!)</f>
        <v/>
      </c>
      <c r="L44" s="2" t="n"/>
    </row>
    <row r="45" ht="14.25" customHeight="1" s="462" thickBot="1">
      <c r="B45" s="26" t="inlineStr">
        <is>
          <t>9(256)</t>
        </is>
      </c>
      <c r="C45" s="21" t="inlineStr">
        <is>
          <t>前川</t>
        </is>
      </c>
      <c r="D45" s="35" t="n"/>
      <c r="E45" s="35" t="n"/>
      <c r="F45" s="466" t="n"/>
      <c r="H45" s="468" t="n"/>
      <c r="I45" s="477" t="n"/>
      <c r="J45" s="469" t="n"/>
      <c r="K45" s="472" t="n"/>
      <c r="L45" s="2" t="n"/>
    </row>
    <row r="46" ht="14.25" customHeight="1" s="462" thickBot="1">
      <c r="B46" s="26" t="inlineStr">
        <is>
          <t>10(257)</t>
        </is>
      </c>
      <c r="C46" s="35" t="n"/>
      <c r="D46" s="35" t="n"/>
      <c r="E46" s="35" t="n"/>
      <c r="F46" s="466" t="n"/>
      <c r="L46" s="2" t="n"/>
    </row>
    <row r="47">
      <c r="B47" s="26" t="inlineStr">
        <is>
          <t>11(258)</t>
        </is>
      </c>
      <c r="C47" s="21" t="inlineStr">
        <is>
          <t>郡司</t>
        </is>
      </c>
      <c r="D47" s="35" t="n"/>
      <c r="E47" s="35" t="n"/>
      <c r="F47" s="466" t="n"/>
      <c r="H47" s="350" t="inlineStr">
        <is>
          <t>依頼件数</t>
        </is>
      </c>
      <c r="I47" s="465" t="n"/>
      <c r="J47" s="467" t="n"/>
      <c r="K47" s="354">
        <f>SUM(#REF!)+SUM(SUM(#REF!))</f>
        <v/>
      </c>
      <c r="L47" s="2" t="n"/>
    </row>
    <row r="48" ht="14.25" customHeight="1" s="462" thickBot="1">
      <c r="B48" s="26" t="inlineStr">
        <is>
          <t>12(736)</t>
        </is>
      </c>
      <c r="C48" s="21" t="n"/>
      <c r="D48" s="35" t="n"/>
      <c r="E48" s="35" t="n"/>
      <c r="F48" s="466" t="n"/>
      <c r="H48" s="468" t="n"/>
      <c r="I48" s="477" t="n"/>
      <c r="J48" s="469" t="n"/>
      <c r="K48" s="472" t="n"/>
      <c r="L48" s="2" t="n"/>
    </row>
    <row r="49" ht="16.5" customHeight="1" s="462">
      <c r="B49" s="26" t="inlineStr">
        <is>
          <t>13(737)</t>
        </is>
      </c>
      <c r="C49" s="21" t="n"/>
      <c r="D49" s="35" t="n"/>
      <c r="E49" s="35" t="n"/>
      <c r="F49" s="466" t="n"/>
      <c r="H49" s="38" t="n"/>
      <c r="I49" s="38" t="n"/>
      <c r="J49" s="38" t="n"/>
      <c r="K49" s="39" t="n"/>
      <c r="L49" s="2" t="n"/>
    </row>
    <row r="50" ht="16.5" customHeight="1" s="462">
      <c r="B50" s="40" t="inlineStr">
        <is>
          <t>14(738)</t>
        </is>
      </c>
      <c r="C50" s="21" t="inlineStr">
        <is>
          <t>辻井</t>
        </is>
      </c>
      <c r="D50" s="35" t="n"/>
      <c r="E50" s="35" t="n"/>
      <c r="F50" s="466" t="n"/>
      <c r="H50" s="38" t="n"/>
      <c r="I50" s="38" t="n"/>
      <c r="J50" s="38" t="n"/>
      <c r="K50" s="39" t="n"/>
      <c r="L50" s="2" t="n"/>
    </row>
    <row r="51" ht="8.25" customHeight="1" s="462">
      <c r="B51" s="41" t="n"/>
      <c r="C51" s="42" t="n"/>
      <c r="D51" s="43" t="n"/>
      <c r="E51" s="44" t="n"/>
      <c r="F51" s="349" t="n"/>
      <c r="H51" s="38" t="n"/>
      <c r="I51" s="38" t="n"/>
      <c r="J51" s="38" t="n"/>
      <c r="K51" s="39" t="n"/>
      <c r="L51" s="2" t="n"/>
    </row>
    <row r="52" ht="17.25" customHeight="1" s="462">
      <c r="B52" s="45" t="n">
        <v>7290</v>
      </c>
      <c r="C52" s="21" t="inlineStr">
        <is>
          <t>佐藤</t>
        </is>
      </c>
      <c r="D52" s="35" t="n"/>
      <c r="E52" s="348" t="n"/>
      <c r="F52" s="349" t="n"/>
      <c r="H52" s="38" t="n"/>
      <c r="I52" s="38" t="n"/>
      <c r="J52" s="38" t="n"/>
      <c r="K52" s="39" t="n"/>
      <c r="L52" s="2" t="n"/>
    </row>
    <row r="53" ht="17.25" customHeight="1" s="462">
      <c r="B53" s="45" t="n">
        <v>7291</v>
      </c>
      <c r="C53" s="21" t="inlineStr">
        <is>
          <t>末次</t>
        </is>
      </c>
      <c r="D53" s="35" t="n"/>
      <c r="E53" s="348" t="n"/>
      <c r="F53" s="349" t="n"/>
      <c r="H53" s="38" t="n"/>
      <c r="I53" s="38" t="n"/>
      <c r="J53" s="38" t="n"/>
      <c r="K53" s="39" t="n"/>
      <c r="L53" s="2" t="n"/>
    </row>
    <row r="54" ht="9" customHeight="1" s="462">
      <c r="B54" s="41" t="n"/>
      <c r="C54" s="42" t="n"/>
      <c r="D54" s="44" t="n"/>
      <c r="E54" s="44" t="n"/>
      <c r="F54" s="349" t="n"/>
      <c r="H54" s="38" t="n"/>
      <c r="I54" s="38" t="n"/>
      <c r="J54" s="38" t="n"/>
      <c r="K54" s="39" t="n"/>
      <c r="L54" s="2" t="n"/>
    </row>
    <row r="55" ht="16.5" customHeight="1" s="462">
      <c r="B55" s="45" t="n">
        <v>333</v>
      </c>
      <c r="C55" s="21" t="inlineStr">
        <is>
          <t>金井/奥田</t>
        </is>
      </c>
      <c r="D55" s="35" t="n"/>
      <c r="E55" s="484" t="n"/>
      <c r="F55" s="469" t="n"/>
      <c r="H55" s="38" t="n"/>
      <c r="I55" s="38" t="n"/>
      <c r="J55" s="38" t="n"/>
      <c r="K55" s="39" t="n"/>
      <c r="L55" s="2" t="n"/>
    </row>
    <row r="56" ht="16.5" customHeight="1" s="462">
      <c r="B56" s="46" t="n">
        <v>666</v>
      </c>
      <c r="C56" s="21" t="inlineStr">
        <is>
          <t>徳留</t>
        </is>
      </c>
      <c r="D56" s="35" t="n"/>
      <c r="E56" s="35" t="n"/>
      <c r="F56" s="466" t="n"/>
      <c r="H56" s="38" t="n"/>
      <c r="I56" s="38" t="n"/>
      <c r="J56" s="38" t="n"/>
      <c r="K56" s="39" t="n"/>
      <c r="L56" s="2" t="n"/>
    </row>
    <row r="57" ht="16.5" customHeight="1" s="462">
      <c r="B57" s="46" t="n">
        <v>777</v>
      </c>
      <c r="C57" s="21" t="n"/>
      <c r="D57" s="35" t="n"/>
      <c r="E57" s="348" t="n"/>
      <c r="F57" s="349" t="n"/>
      <c r="H57" s="38" t="n"/>
      <c r="I57" s="38" t="n"/>
      <c r="J57" s="38" t="n"/>
      <c r="K57" s="39" t="n"/>
      <c r="L57" s="2" t="n"/>
    </row>
    <row r="58" ht="16.5" customHeight="1" s="462">
      <c r="B58" s="47" t="n">
        <v>330</v>
      </c>
      <c r="C58" s="21" t="n"/>
      <c r="D58" s="35" t="n"/>
      <c r="E58" s="35" t="n"/>
      <c r="F58" s="466" t="n"/>
      <c r="H58" s="38" t="n"/>
      <c r="I58" s="38" t="n"/>
      <c r="J58" s="38" t="n"/>
      <c r="K58" s="39" t="n"/>
      <c r="L58" s="2" t="n"/>
    </row>
    <row r="59" ht="16.5" customHeight="1" s="462">
      <c r="B59" s="47" t="n">
        <v>990</v>
      </c>
      <c r="C59" s="21" t="inlineStr">
        <is>
          <t>山原</t>
        </is>
      </c>
      <c r="D59" s="35" t="n"/>
      <c r="E59" s="35" t="n"/>
      <c r="F59" s="466" t="n"/>
      <c r="H59" s="38" t="n"/>
      <c r="I59" s="38" t="n"/>
      <c r="J59" s="38" t="n"/>
      <c r="K59" s="39" t="n"/>
      <c r="L59" s="2" t="n"/>
    </row>
    <row r="60">
      <c r="L60" s="2" t="n"/>
    </row>
    <row r="61">
      <c r="C61" s="449" t="inlineStr">
        <is>
          <t>出発→到着</t>
        </is>
      </c>
      <c r="D61" s="420" t="inlineStr">
        <is>
          <t>備考</t>
        </is>
      </c>
      <c r="L61" s="2" t="n"/>
    </row>
    <row r="62">
      <c r="B62" s="27" t="inlineStr">
        <is>
          <t>①</t>
        </is>
      </c>
      <c r="C62" s="449" t="inlineStr">
        <is>
          <t>東→西</t>
        </is>
      </c>
      <c r="D62" s="485" t="inlineStr">
        <is>
          <t>①Aチーム優先</t>
        </is>
      </c>
      <c r="E62" s="486" t="n"/>
      <c r="F62" s="486" t="n"/>
      <c r="G62" s="486" t="n"/>
      <c r="H62" s="486" t="n"/>
      <c r="I62" s="486" t="n"/>
      <c r="J62" s="466" t="n"/>
      <c r="L62" s="2" t="n"/>
    </row>
    <row r="63">
      <c r="B63" s="27" t="inlineStr">
        <is>
          <t>②</t>
        </is>
      </c>
      <c r="C63" s="449" t="inlineStr">
        <is>
          <t>東→東</t>
        </is>
      </c>
      <c r="D63" s="485" t="inlineStr">
        <is>
          <t>②急ぎ案件の場合、道路状況も伝えてあげる。</t>
        </is>
      </c>
      <c r="E63" s="486" t="n"/>
      <c r="F63" s="486" t="n"/>
      <c r="G63" s="486" t="n"/>
      <c r="H63" s="486" t="n"/>
      <c r="I63" s="486" t="n"/>
      <c r="J63" s="466" t="n"/>
      <c r="L63" s="2" t="n"/>
    </row>
    <row r="64">
      <c r="B64" s="27" t="inlineStr">
        <is>
          <t>③</t>
        </is>
      </c>
      <c r="C64" s="449" t="inlineStr">
        <is>
          <t>西→東</t>
        </is>
      </c>
      <c r="D64" s="485" t="inlineStr">
        <is>
          <t>③各ドライバーの位置からの帰社のタイミング・夕方の配置</t>
        </is>
      </c>
      <c r="E64" s="486" t="n"/>
      <c r="F64" s="486" t="n"/>
      <c r="G64" s="486" t="n"/>
      <c r="H64" s="486" t="n"/>
      <c r="I64" s="486" t="n"/>
      <c r="J64" s="466" t="n"/>
      <c r="L64" s="2" t="n"/>
    </row>
    <row r="65">
      <c r="B65" s="27" t="inlineStr">
        <is>
          <t>④</t>
        </is>
      </c>
      <c r="C65" s="449" t="inlineStr">
        <is>
          <t>西→西</t>
        </is>
      </c>
      <c r="D65" s="485" t="inlineStr">
        <is>
          <t>④依頼を受ける際の、希望時間と現状の位置。行けるか行けないかの判断をしっかりと。</t>
        </is>
      </c>
      <c r="E65" s="486" t="n"/>
      <c r="F65" s="486" t="n"/>
      <c r="G65" s="486" t="n"/>
      <c r="H65" s="486" t="n"/>
      <c r="I65" s="486" t="n"/>
      <c r="J65" s="466" t="n"/>
      <c r="L65" s="2" t="n"/>
    </row>
    <row r="66">
      <c r="D66" s="485" t="inlineStr">
        <is>
          <t>⑤軽に乗るか乗らないかの判断に気を付ける。</t>
        </is>
      </c>
      <c r="E66" s="486" t="n"/>
      <c r="F66" s="486" t="n"/>
      <c r="G66" s="486" t="n"/>
      <c r="H66" s="486" t="n"/>
      <c r="I66" s="486" t="n"/>
      <c r="J66" s="466" t="n"/>
      <c r="L66" s="2" t="n"/>
    </row>
    <row r="67">
      <c r="B67" s="22" t="n"/>
      <c r="C67" s="420" t="inlineStr">
        <is>
          <t>現状配置(予測)</t>
        </is>
      </c>
      <c r="D67" s="485" t="inlineStr">
        <is>
          <t>⑥18/1日、1.8/1人、3件/1人</t>
        </is>
      </c>
      <c r="E67" s="486" t="n"/>
      <c r="F67" s="486" t="n"/>
      <c r="G67" s="486" t="n"/>
      <c r="H67" s="486" t="n"/>
      <c r="I67" s="486" t="n"/>
      <c r="J67" s="466" t="n"/>
      <c r="L67" s="2" t="n"/>
    </row>
    <row r="68">
      <c r="B68" s="420" t="inlineStr">
        <is>
          <t>西(神戸西・弥栄台)</t>
        </is>
      </c>
      <c r="C68" s="420" t="n"/>
      <c r="D68" s="485" t="inlineStr">
        <is>
          <t>⑦依頼書の見落とし(日付、入替、入出庫、場所）</t>
        </is>
      </c>
      <c r="E68" s="486" t="n"/>
      <c r="F68" s="486" t="n"/>
      <c r="G68" s="486" t="n"/>
      <c r="H68" s="486" t="n"/>
      <c r="I68" s="486" t="n"/>
      <c r="J68" s="466" t="n"/>
      <c r="L68" s="2" t="n"/>
    </row>
    <row r="69">
      <c r="B69" s="420" t="inlineStr">
        <is>
          <t>真ん中(摩耶・中央)</t>
        </is>
      </c>
      <c r="C69" s="420" t="n"/>
      <c r="D69" s="485" t="inlineStr">
        <is>
          <t>⑧3ｔ車と2ｔ車への振り方(西と東に振り分ける)</t>
        </is>
      </c>
      <c r="E69" s="486" t="n"/>
      <c r="F69" s="486" t="n"/>
      <c r="G69" s="486" t="n"/>
      <c r="H69" s="486" t="n"/>
      <c r="I69" s="486" t="n"/>
      <c r="J69" s="466" t="n"/>
      <c r="L69" s="2" t="n"/>
    </row>
    <row r="70">
      <c r="B70" s="420" t="inlineStr">
        <is>
          <t>東(尼崎・伊丹・西宮)</t>
        </is>
      </c>
      <c r="C70" s="420" t="n"/>
      <c r="D70" s="485" t="inlineStr">
        <is>
          <t>⑨</t>
        </is>
      </c>
      <c r="E70" s="486" t="n"/>
      <c r="F70" s="486" t="n"/>
      <c r="G70" s="486" t="n"/>
      <c r="H70" s="486" t="n"/>
      <c r="I70" s="486" t="n"/>
      <c r="J70" s="466" t="n"/>
      <c r="L70" s="2" t="n"/>
    </row>
    <row r="71">
      <c r="B71" s="48" t="inlineStr">
        <is>
          <t>極東(港区・淀屋橋)</t>
        </is>
      </c>
      <c r="C71" s="420" t="n"/>
      <c r="D71" s="49" t="n"/>
      <c r="E71" s="49" t="n"/>
      <c r="F71" s="49" t="n"/>
      <c r="G71" s="49" t="n"/>
      <c r="H71" s="49" t="n"/>
      <c r="I71" s="49" t="n"/>
      <c r="J71" s="49" t="n"/>
      <c r="L71" s="2" t="n"/>
    </row>
    <row r="72" ht="14.25" customHeight="1" s="462" thickBot="1">
      <c r="L72" s="2" t="n"/>
    </row>
    <row r="73">
      <c r="C73" s="473" t="inlineStr">
        <is>
          <t>合計額/380</t>
        </is>
      </c>
      <c r="D73" s="358">
        <f>SUM(G73)</f>
        <v/>
      </c>
      <c r="F73" s="360" t="inlineStr">
        <is>
          <t>売り上げ額</t>
        </is>
      </c>
      <c r="G73" s="362">
        <f>SUM(SUM(K4:K39))+SUM(#REF!)</f>
        <v/>
      </c>
      <c r="H73" s="465" t="n"/>
      <c r="I73" s="465" t="n"/>
      <c r="J73" s="467" t="n"/>
      <c r="L73" s="2" t="n"/>
    </row>
    <row r="74" ht="14.25" customHeight="1" s="462" thickBot="1">
      <c r="C74" s="474" t="n"/>
      <c r="D74" s="475" t="n"/>
      <c r="F74" s="468" t="n"/>
      <c r="G74" s="476" t="n"/>
      <c r="H74" s="477" t="n"/>
      <c r="I74" s="477" t="n"/>
      <c r="J74" s="469" t="n"/>
      <c r="L74" s="2" t="n"/>
    </row>
    <row r="75">
      <c r="C75" s="478" t="inlineStr">
        <is>
          <t>前日までの売上合計額</t>
        </is>
      </c>
      <c r="D75" s="479">
        <f>SUM(B84)</f>
        <v/>
      </c>
      <c r="L75" s="2" t="n"/>
    </row>
    <row r="76" ht="14.25" customHeight="1" s="462" thickBot="1">
      <c r="C76" s="480" t="n"/>
      <c r="D76" s="480" t="n"/>
      <c r="F76" s="420" t="inlineStr">
        <is>
          <t>金井（55)</t>
        </is>
      </c>
      <c r="G76" s="345" t="n"/>
      <c r="H76" s="466" t="n"/>
      <c r="I76" s="130" t="n"/>
      <c r="L76" s="2" t="n"/>
    </row>
    <row r="77" ht="14.25" customHeight="1" s="462" thickTop="1">
      <c r="D77" s="346">
        <f>D73+D75</f>
        <v/>
      </c>
      <c r="F77" s="420" t="inlineStr">
        <is>
          <t>粟津(55)</t>
        </is>
      </c>
      <c r="G77" s="340" t="n"/>
      <c r="H77" s="466" t="n"/>
      <c r="I77" s="131" t="n"/>
      <c r="L77" s="2" t="n"/>
    </row>
    <row r="78">
      <c r="F78" s="420" t="inlineStr">
        <is>
          <t>砂川(50)</t>
        </is>
      </c>
      <c r="G78" s="340" t="n"/>
      <c r="H78" s="466" t="n"/>
      <c r="I78" s="131" t="n"/>
      <c r="L78" s="2" t="n"/>
    </row>
    <row r="79">
      <c r="C79" s="2" t="inlineStr">
        <is>
          <t>高代</t>
        </is>
      </c>
      <c r="F79" s="420" t="inlineStr">
        <is>
          <t>前川(50)</t>
        </is>
      </c>
      <c r="G79" s="340" t="n"/>
      <c r="H79" s="466" t="n"/>
      <c r="I79" s="131" t="n"/>
      <c r="L79" s="2" t="n"/>
    </row>
    <row r="80">
      <c r="C80" s="2" t="inlineStr">
        <is>
          <t>返還代</t>
        </is>
      </c>
      <c r="F80" s="420" t="inlineStr">
        <is>
          <t>佐藤(50)</t>
        </is>
      </c>
      <c r="G80" s="345" t="n"/>
      <c r="H80" s="466" t="n"/>
      <c r="I80" s="130" t="n"/>
      <c r="L80" s="2" t="n"/>
    </row>
    <row r="81">
      <c r="C81" s="2" t="inlineStr">
        <is>
          <t>回収率</t>
        </is>
      </c>
      <c r="D81" s="50">
        <f>D80/D79</f>
        <v/>
      </c>
      <c r="F81" s="420" t="inlineStr">
        <is>
          <t>末次(55)</t>
        </is>
      </c>
      <c r="G81" s="340" t="n"/>
      <c r="H81" s="466" t="n"/>
      <c r="I81" s="131" t="n"/>
      <c r="L81" s="2" t="n"/>
    </row>
    <row r="82">
      <c r="C82" s="2" t="inlineStr">
        <is>
          <t>費</t>
        </is>
      </c>
      <c r="D82" s="2">
        <f>D79-D80</f>
        <v/>
      </c>
      <c r="F82" s="420" t="inlineStr">
        <is>
          <t>筒井(75)</t>
        </is>
      </c>
      <c r="G82" s="340" t="n"/>
      <c r="H82" s="466" t="n"/>
      <c r="I82" s="131" t="n"/>
      <c r="L82" s="2" t="n"/>
    </row>
    <row r="83">
      <c r="F83" s="420" t="inlineStr">
        <is>
          <t>山岸(40)</t>
        </is>
      </c>
      <c r="G83" s="340" t="n"/>
      <c r="H83" s="466" t="n"/>
      <c r="I83" s="131" t="n"/>
      <c r="L83" s="2" t="n"/>
    </row>
    <row r="84" ht="23.25" customHeight="1" s="462">
      <c r="B84" s="71" t="n"/>
      <c r="F84" s="420" t="inlineStr">
        <is>
          <t>多苗(30)</t>
        </is>
      </c>
      <c r="G84" s="340" t="n"/>
      <c r="H84" s="466" t="n"/>
      <c r="I84" s="131" t="n"/>
      <c r="L84" s="2" t="inlineStr">
        <is>
          <t> </t>
        </is>
      </c>
    </row>
    <row r="85">
      <c r="L85" s="2" t="n"/>
    </row>
    <row r="86">
      <c r="L86" s="2" t="n"/>
    </row>
  </sheetData>
  <autoFilter ref="H2:H86"/>
  <mergeCells count="56">
    <mergeCell ref="E43:F43"/>
    <mergeCell ref="E50:F50"/>
    <mergeCell ref="G81:H81"/>
    <mergeCell ref="D62:J62"/>
    <mergeCell ref="G77:H77"/>
    <mergeCell ref="C73:C74"/>
    <mergeCell ref="E55:F55"/>
    <mergeCell ref="D68:J68"/>
    <mergeCell ref="E42:F42"/>
    <mergeCell ref="M9:N9"/>
    <mergeCell ref="D77:D78"/>
    <mergeCell ref="M5:N5"/>
    <mergeCell ref="D64:J64"/>
    <mergeCell ref="M39:N39"/>
    <mergeCell ref="H42:J43"/>
    <mergeCell ref="E48:F48"/>
    <mergeCell ref="D67:J67"/>
    <mergeCell ref="E44:F44"/>
    <mergeCell ref="K44:K45"/>
    <mergeCell ref="G82:H82"/>
    <mergeCell ref="B2:C2"/>
    <mergeCell ref="C75:C76"/>
    <mergeCell ref="D75:D76"/>
    <mergeCell ref="K47:K48"/>
    <mergeCell ref="H44:J45"/>
    <mergeCell ref="D69:J69"/>
    <mergeCell ref="D63:J63"/>
    <mergeCell ref="G73:J74"/>
    <mergeCell ref="G78:H78"/>
    <mergeCell ref="E56:F56"/>
    <mergeCell ref="M13:N13"/>
    <mergeCell ref="M30:N30"/>
    <mergeCell ref="G83:H83"/>
    <mergeCell ref="E59:F59"/>
    <mergeCell ref="E46:F46"/>
    <mergeCell ref="D65:J65"/>
    <mergeCell ref="E49:F49"/>
    <mergeCell ref="G80:H80"/>
    <mergeCell ref="K42:K43"/>
    <mergeCell ref="E45:F45"/>
    <mergeCell ref="M27:N27"/>
    <mergeCell ref="M3:N3"/>
    <mergeCell ref="D73:D74"/>
    <mergeCell ref="F73:F74"/>
    <mergeCell ref="M26:N26"/>
    <mergeCell ref="G79:H79"/>
    <mergeCell ref="M24:N24"/>
    <mergeCell ref="D70:J70"/>
    <mergeCell ref="D66:J66"/>
    <mergeCell ref="G76:H76"/>
    <mergeCell ref="M38:N38"/>
    <mergeCell ref="H47:J48"/>
    <mergeCell ref="G84:H84"/>
    <mergeCell ref="E58:F58"/>
    <mergeCell ref="M4:N4"/>
    <mergeCell ref="E47:F47"/>
  </mergeCells>
  <conditionalFormatting sqref="K44:K45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:L39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D5:D47">
    <cfRule type="containsText" priority="7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61"/>
</worksheet>
</file>

<file path=xl/worksheets/sheet26.xml><?xml version="1.0" encoding="utf-8"?>
<worksheet xmlns="http://schemas.openxmlformats.org/spreadsheetml/2006/main">
  <sheetPr codeName="Sheet26">
    <outlinePr summaryBelow="1" summaryRight="1"/>
    <pageSetUpPr fitToPage="1"/>
  </sheetPr>
  <dimension ref="A1:N62"/>
  <sheetViews>
    <sheetView zoomScale="70" zoomScaleNormal="70" workbookViewId="0">
      <selection activeCell="K14" sqref="K14:K18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3.125" bestFit="1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10"/>
    <col width="17.25" customWidth="1" style="2" min="11" max="11"/>
    <col width="7.375" customWidth="1" style="2" min="12" max="12"/>
    <col width="8.75" customWidth="1" style="2" min="13" max="16384"/>
  </cols>
  <sheetData>
    <row r="1"/>
    <row r="2" ht="15" customHeight="1" s="462" thickBot="1">
      <c r="B2" s="493" t="n">
        <v>46187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2" t="inlineStr">
        <is>
          <t>メモ</t>
        </is>
      </c>
      <c r="N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465" t="n"/>
    </row>
    <row r="5" ht="27.75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262" t="n"/>
      <c r="I5" s="298">
        <f>IFERROR(_xlfn.XLOOKUP(H5,案件・ドライバー一覧!$L$3:$L$17,案件・ドライバー一覧!$M$3:$M$17,""),"")</f>
        <v/>
      </c>
      <c r="J5" s="420" t="n"/>
      <c r="K5" s="72" t="n"/>
      <c r="L5" s="61" t="n"/>
      <c r="M5" s="449" t="n"/>
    </row>
    <row r="6" ht="27.75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262" t="n"/>
      <c r="I6" s="299" t="n"/>
      <c r="J6" s="57" t="n"/>
      <c r="K6" s="72" t="n"/>
      <c r="L6" s="61" t="n"/>
      <c r="M6" s="449" t="n"/>
      <c r="N6" s="449" t="n"/>
    </row>
    <row r="7" ht="27.75" customHeight="1" s="462">
      <c r="A7" s="423">
        <f>IF(B7="","",COUNTA($B$5:B7))</f>
        <v/>
      </c>
      <c r="B7" s="57" t="n"/>
      <c r="C7" s="63" t="n"/>
      <c r="D7" s="64" t="n"/>
      <c r="E7" s="64" t="n"/>
      <c r="F7" s="57" t="n"/>
      <c r="G7" s="65" t="n"/>
      <c r="H7" s="262" t="n"/>
      <c r="I7" s="299" t="n"/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</row>
    <row r="8" ht="27.75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262" t="n"/>
      <c r="I8" s="299" t="n"/>
      <c r="J8" s="57" t="n"/>
      <c r="K8" s="72" t="n"/>
      <c r="L8" s="61" t="n"/>
      <c r="M8" s="449" t="n"/>
      <c r="N8" s="449" t="n"/>
    </row>
    <row r="9" ht="27.75" customHeight="1" s="462">
      <c r="A9" s="423">
        <f>IF(B9="","",COUNTA($B$5:B9))</f>
        <v/>
      </c>
      <c r="B9" s="57" t="n"/>
      <c r="C9" s="63" t="n"/>
      <c r="D9" s="441" t="n"/>
      <c r="E9" s="440" t="n"/>
      <c r="F9" s="57" t="n"/>
      <c r="G9" s="65" t="n"/>
      <c r="H9" s="262" t="n"/>
      <c r="I9" s="80" t="n"/>
      <c r="J9" s="57" t="n"/>
      <c r="K9" s="72" t="n"/>
      <c r="L9" s="61" t="n"/>
      <c r="M9" s="449" t="n"/>
      <c r="N9" s="449" t="n"/>
    </row>
    <row r="10" ht="27.75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262" t="n"/>
      <c r="I10" s="298">
        <f>IFERROR(_xlfn.XLOOKUP(H10,案件・ドライバー一覧!$L$3:$L$17,案件・ドライバー一覧!$M$3:$M$17,""),"")</f>
        <v/>
      </c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</row>
    <row r="11" ht="33.75" customHeight="1" s="462">
      <c r="A11" s="423">
        <f>IF(B11="","",COUNTA($B$5:B11))</f>
        <v/>
      </c>
      <c r="B11" s="441" t="n"/>
      <c r="C11" s="63" t="n"/>
      <c r="D11" s="440" t="n"/>
      <c r="E11" s="441" t="n"/>
      <c r="F11" s="57" t="n"/>
      <c r="G11" s="65" t="n"/>
      <c r="H11" s="262" t="n"/>
      <c r="I11" s="80">
        <f>IFERROR(_xlfn.XLOOKUP(H7,案件・ドライバー一覧!$L$3:$L$17,案件・ドライバー一覧!$M$3:$M$17,""),"")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</row>
    <row r="12" ht="27.7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262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</row>
    <row r="13" ht="27" customHeight="1" s="462">
      <c r="A13" s="423">
        <f>IF(B13="","",COUNTA($B$5:B13))</f>
        <v/>
      </c>
      <c r="B13" s="441" t="n"/>
      <c r="C13" s="63" t="n"/>
      <c r="D13" s="64" t="n"/>
      <c r="E13" s="441" t="n"/>
      <c r="F13" s="57" t="n"/>
      <c r="G13" s="59" t="n"/>
      <c r="H13" s="262" t="n"/>
      <c r="I13" s="80" t="n"/>
      <c r="J13" s="57" t="n"/>
      <c r="K13" s="73" t="n"/>
      <c r="L13" s="61" t="n"/>
      <c r="M13" s="449" t="n"/>
    </row>
    <row r="14" ht="27.75" customHeight="1" s="462">
      <c r="A14" s="423">
        <f>IF(B14="","",COUNTA($B$5:B14))</f>
        <v/>
      </c>
      <c r="B14" s="441" t="n"/>
      <c r="C14" s="63" t="n"/>
      <c r="D14" s="441" t="n"/>
      <c r="E14" s="441" t="n"/>
      <c r="F14" s="57" t="n"/>
      <c r="G14" s="59" t="n"/>
      <c r="H14" s="281" t="n"/>
      <c r="I14" s="298">
        <f>IFERROR(_xlfn.XLOOKUP(H14,案件・ドライバー一覧!$L$3:$L$17,案件・ドライバー一覧!$M$3:$M$17,""),"")</f>
        <v/>
      </c>
      <c r="J14" s="57" t="n"/>
      <c r="K14" s="73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</row>
    <row r="15" ht="27.75" customHeight="1" s="462">
      <c r="A15" s="423">
        <f>IF(B15="","",COUNTA($B$5:B15))</f>
        <v/>
      </c>
      <c r="B15" s="441" t="n"/>
      <c r="C15" s="63" t="n"/>
      <c r="D15" s="440" t="n"/>
      <c r="E15" s="441" t="n"/>
      <c r="F15" s="57" t="n"/>
      <c r="G15" s="59" t="n"/>
      <c r="H15" s="262" t="n"/>
      <c r="I15" s="74" t="n"/>
      <c r="J15" s="420" t="n"/>
      <c r="K15" s="73" t="n"/>
      <c r="L15" s="61" t="n"/>
      <c r="M15" s="449" t="n"/>
    </row>
    <row r="16" ht="40.5" customHeight="1" s="462">
      <c r="A16" s="423">
        <f>IF(B16="","",COUNTA($B$5:B16))</f>
        <v/>
      </c>
      <c r="B16" s="441" t="n"/>
      <c r="C16" s="63" t="n"/>
      <c r="D16" s="440" t="n"/>
      <c r="E16" s="441" t="n"/>
      <c r="F16" s="57" t="n"/>
      <c r="G16" s="59" t="n"/>
      <c r="H16" s="262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</row>
    <row r="17" ht="27.75" customHeight="1" s="462">
      <c r="A17" s="423">
        <f>IF(B17="","",COUNTA($B$5:B17))</f>
        <v/>
      </c>
      <c r="B17" s="441" t="n"/>
      <c r="C17" s="63" t="n"/>
      <c r="D17" s="440" t="n"/>
      <c r="E17" s="441" t="n"/>
      <c r="F17" s="57" t="n"/>
      <c r="G17" s="59" t="n"/>
      <c r="H17" s="262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</row>
    <row r="18" ht="27.75" customHeight="1" s="462">
      <c r="A18" s="310">
        <f>IF(B18="","",COUNTA($B$5:B18))</f>
        <v/>
      </c>
      <c r="B18" s="441" t="n"/>
      <c r="C18" s="63" t="n"/>
      <c r="D18" s="441" t="n"/>
      <c r="E18" s="441" t="n"/>
      <c r="F18" s="57" t="n"/>
      <c r="G18" s="254" t="n"/>
      <c r="H18" s="262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</row>
    <row r="19" ht="27.75" customHeight="1" s="462" thickBot="1">
      <c r="A19" s="445" t="n"/>
      <c r="B19" s="455" t="n"/>
      <c r="C19" s="455" t="n"/>
      <c r="D19" s="455" t="n"/>
      <c r="E19" s="455" t="n"/>
      <c r="F19" s="454" t="n"/>
      <c r="G19" s="446" t="n"/>
      <c r="H19" s="459" t="n"/>
      <c r="I19" s="460" t="n"/>
      <c r="J19" s="454" t="n"/>
      <c r="K19" s="448" t="n"/>
      <c r="L19" s="449" t="n"/>
      <c r="M19" s="449" t="n"/>
      <c r="N19" s="449" t="n"/>
    </row>
    <row r="20" ht="27" customHeight="1" s="462">
      <c r="B20" s="22" t="n"/>
      <c r="C20" s="25" t="n"/>
      <c r="D20" s="25" t="inlineStr">
        <is>
          <t>現在待機場所</t>
        </is>
      </c>
      <c r="E20" s="25" t="inlineStr">
        <is>
          <t>待機予定場所</t>
        </is>
      </c>
      <c r="F20" s="466" t="n"/>
      <c r="H20" s="375" t="inlineStr">
        <is>
          <t>目標距離</t>
        </is>
      </c>
      <c r="I20" s="465" t="n"/>
      <c r="J20" s="467" t="n"/>
      <c r="K20" s="377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1" ht="27" customHeight="1" s="462" thickBot="1">
      <c r="B21" s="26" t="inlineStr">
        <is>
          <t>2(255)</t>
        </is>
      </c>
      <c r="C21" s="21" t="inlineStr">
        <is>
          <t>山岸</t>
        </is>
      </c>
      <c r="D21" s="34" t="n"/>
      <c r="E21" s="34" t="n"/>
      <c r="F21" s="466" t="n"/>
      <c r="H21" s="468" t="n"/>
      <c r="I21" s="477" t="n"/>
      <c r="J21" s="469" t="n"/>
      <c r="K21" s="470" t="n"/>
    </row>
    <row r="22">
      <c r="B22" s="26" t="inlineStr">
        <is>
          <t>8(254)</t>
        </is>
      </c>
      <c r="C22" s="21" t="inlineStr">
        <is>
          <t>砂川</t>
        </is>
      </c>
      <c r="D22" s="35" t="n"/>
      <c r="E22" s="35" t="n"/>
      <c r="F22" s="466" t="n"/>
      <c r="H22" s="368" t="inlineStr">
        <is>
          <t>残距離</t>
        </is>
      </c>
      <c r="J22" s="471" t="n"/>
      <c r="K22" s="354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3" ht="14.25" customHeight="1" s="462" thickBot="1">
      <c r="B23" s="26" t="inlineStr">
        <is>
          <t>9(256)</t>
        </is>
      </c>
      <c r="C23" s="21" t="inlineStr">
        <is>
          <t>前川</t>
        </is>
      </c>
      <c r="D23" s="35" t="n"/>
      <c r="E23" s="35" t="n"/>
      <c r="F23" s="466" t="n"/>
      <c r="H23" s="468" t="n"/>
      <c r="I23" s="477" t="n"/>
      <c r="J23" s="469" t="n"/>
      <c r="K23" s="472" t="n"/>
    </row>
    <row r="24" ht="14.25" customHeight="1" s="462" thickBot="1">
      <c r="B24" s="26" t="inlineStr">
        <is>
          <t>10(257)</t>
        </is>
      </c>
      <c r="C24" s="35" t="n"/>
      <c r="D24" s="35" t="n"/>
      <c r="E24" s="35" t="n"/>
      <c r="F24" s="466" t="n"/>
      <c r="K24" s="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5">
      <c r="B25" s="26" t="inlineStr">
        <is>
          <t>11(258)</t>
        </is>
      </c>
      <c r="C25" s="21" t="inlineStr">
        <is>
          <t>郡司</t>
        </is>
      </c>
      <c r="D25" s="35" t="n"/>
      <c r="E25" s="35" t="n"/>
      <c r="F25" s="466" t="n"/>
      <c r="H25" s="350" t="inlineStr">
        <is>
          <t>依頼件数</t>
        </is>
      </c>
      <c r="I25" s="465" t="n"/>
      <c r="J25" s="467" t="n"/>
      <c r="K25" s="354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6" ht="14.25" customHeight="1" s="462" thickBot="1">
      <c r="B26" s="26" t="inlineStr">
        <is>
          <t>12(736)</t>
        </is>
      </c>
      <c r="C26" s="21" t="n"/>
      <c r="D26" s="35" t="n"/>
      <c r="E26" s="35" t="n"/>
      <c r="F26" s="466" t="n"/>
      <c r="H26" s="468" t="n"/>
      <c r="I26" s="477" t="n"/>
      <c r="J26" s="469" t="n"/>
      <c r="K26" s="472" t="n"/>
    </row>
    <row r="27" ht="17.25" customHeight="1" s="462">
      <c r="B27" s="26" t="inlineStr">
        <is>
          <t>13(737)</t>
        </is>
      </c>
      <c r="C27" s="21" t="n"/>
      <c r="D27" s="35" t="n"/>
      <c r="E27" s="35" t="n"/>
      <c r="F27" s="466" t="n"/>
      <c r="H27" s="38" t="n"/>
      <c r="I27" s="38" t="n"/>
      <c r="J27" s="38" t="n"/>
      <c r="K27" s="39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8" ht="17.25" customHeight="1" s="462">
      <c r="B28" s="40" t="inlineStr">
        <is>
          <t>14(738)</t>
        </is>
      </c>
      <c r="C28" s="21" t="inlineStr">
        <is>
          <t>辻井</t>
        </is>
      </c>
      <c r="D28" s="35" t="n"/>
      <c r="E28" s="35" t="n"/>
      <c r="F28" s="466" t="n"/>
      <c r="H28" s="38" t="n"/>
      <c r="I28" s="38" t="n"/>
      <c r="J28" s="38" t="n"/>
      <c r="K28" s="39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9" ht="17.25" customHeight="1" s="462">
      <c r="B29" s="41" t="n"/>
      <c r="C29" s="42" t="n"/>
      <c r="D29" s="43" t="n"/>
      <c r="E29" s="44" t="n"/>
      <c r="F29" s="349" t="n"/>
      <c r="H29" s="38" t="n"/>
      <c r="I29" s="38" t="n"/>
      <c r="J29" s="38" t="n"/>
      <c r="K29" s="39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0" ht="17.25" customHeight="1" s="462">
      <c r="B30" s="45" t="n">
        <v>7290</v>
      </c>
      <c r="C30" s="21" t="inlineStr">
        <is>
          <t>佐藤</t>
        </is>
      </c>
      <c r="D30" s="35" t="n"/>
      <c r="E30" s="348" t="n"/>
      <c r="F30" s="349" t="n"/>
      <c r="H30" s="38" t="n"/>
      <c r="I30" s="38" t="n"/>
      <c r="J30" s="38" t="n"/>
      <c r="K30" s="39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1" ht="16.5" customHeight="1" s="462">
      <c r="B31" s="45" t="n">
        <v>7291</v>
      </c>
      <c r="C31" s="21" t="inlineStr">
        <is>
          <t>末次</t>
        </is>
      </c>
      <c r="D31" s="35" t="n"/>
      <c r="E31" s="348" t="n"/>
      <c r="F31" s="349" t="n"/>
      <c r="H31" s="38" t="n"/>
      <c r="I31" s="38" t="n"/>
      <c r="J31" s="38" t="n"/>
      <c r="K31" s="39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16.5" customHeight="1" s="462">
      <c r="B32" s="41" t="n"/>
      <c r="C32" s="42" t="n"/>
      <c r="D32" s="44" t="n"/>
      <c r="E32" s="44" t="n"/>
      <c r="F32" s="349" t="n"/>
      <c r="H32" s="38" t="n"/>
      <c r="I32" s="38" t="n"/>
      <c r="J32" s="38" t="n"/>
      <c r="K32" s="39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3" ht="8.25" customHeight="1" s="462">
      <c r="B33" s="45" t="n">
        <v>333</v>
      </c>
      <c r="C33" s="21" t="inlineStr">
        <is>
          <t>金井/奥田</t>
        </is>
      </c>
      <c r="D33" s="35" t="n"/>
      <c r="E33" s="484" t="n"/>
      <c r="F33" s="469" t="n"/>
      <c r="H33" s="38" t="n"/>
      <c r="I33" s="38" t="n"/>
      <c r="J33" s="38" t="n"/>
      <c r="K33" s="39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 ht="17.25" customHeight="1" s="462">
      <c r="B34" s="46" t="n">
        <v>666</v>
      </c>
      <c r="C34" s="21" t="inlineStr">
        <is>
          <t>徳留</t>
        </is>
      </c>
      <c r="D34" s="35" t="n"/>
      <c r="E34" s="35" t="n"/>
      <c r="F34" s="466" t="n"/>
      <c r="H34" s="38" t="n"/>
      <c r="I34" s="38" t="n"/>
      <c r="J34" s="38" t="n"/>
      <c r="K34" s="39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5" ht="17.25" customHeight="1" s="462">
      <c r="B35" s="46" t="n">
        <v>777</v>
      </c>
      <c r="C35" s="21" t="n"/>
      <c r="D35" s="35" t="n"/>
      <c r="E35" s="348" t="n"/>
      <c r="F35" s="349" t="n"/>
      <c r="H35" s="38" t="n"/>
      <c r="I35" s="38" t="n"/>
      <c r="J35" s="38" t="n"/>
      <c r="K35" s="39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6" ht="9" customHeight="1" s="462">
      <c r="B36" s="47" t="n">
        <v>330</v>
      </c>
      <c r="C36" s="21" t="n"/>
      <c r="D36" s="35" t="n"/>
      <c r="E36" s="35" t="n"/>
      <c r="F36" s="466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6.5" customHeight="1" s="462">
      <c r="B37" s="47" t="n">
        <v>990</v>
      </c>
      <c r="C37" s="21" t="inlineStr">
        <is>
          <t>山原</t>
        </is>
      </c>
      <c r="D37" s="35" t="n"/>
      <c r="E37" s="35" t="n"/>
      <c r="F37" s="466" t="n"/>
      <c r="H37" s="38" t="n"/>
      <c r="I37" s="38" t="n"/>
      <c r="J37" s="38" t="n"/>
      <c r="K37" s="39" t="n"/>
    </row>
    <row r="38" ht="16.5" customHeight="1" s="462"/>
    <row r="39" ht="16.5" customHeight="1" s="462">
      <c r="C39" s="449" t="inlineStr">
        <is>
          <t>出発→到着</t>
        </is>
      </c>
      <c r="D39" s="420" t="inlineStr">
        <is>
          <t>備考</t>
        </is>
      </c>
    </row>
    <row r="40" ht="16.5" customHeight="1" s="462">
      <c r="B40" s="27" t="inlineStr">
        <is>
          <t>①</t>
        </is>
      </c>
      <c r="C40" s="449" t="inlineStr">
        <is>
          <t>東→西</t>
        </is>
      </c>
      <c r="D40" s="485" t="inlineStr">
        <is>
          <t>①Aチーム優先</t>
        </is>
      </c>
      <c r="E40" s="486" t="n"/>
      <c r="F40" s="486" t="n"/>
      <c r="G40" s="486" t="n"/>
      <c r="H40" s="486" t="n"/>
      <c r="I40" s="486" t="n"/>
      <c r="J40" s="466" t="n"/>
    </row>
    <row r="41" ht="16.5" customHeight="1" s="462">
      <c r="B41" s="27" t="inlineStr">
        <is>
          <t>②</t>
        </is>
      </c>
      <c r="C41" s="449" t="inlineStr">
        <is>
          <t>東→東</t>
        </is>
      </c>
      <c r="D41" s="485" t="inlineStr">
        <is>
          <t>②急ぎ案件の場合、道路状況も伝えてあげる。</t>
        </is>
      </c>
      <c r="E41" s="486" t="n"/>
      <c r="F41" s="486" t="n"/>
      <c r="G41" s="486" t="n"/>
      <c r="H41" s="486" t="n"/>
      <c r="I41" s="486" t="n"/>
      <c r="J41" s="466" t="n"/>
    </row>
    <row r="42">
      <c r="B42" s="27" t="inlineStr">
        <is>
          <t>③</t>
        </is>
      </c>
      <c r="C42" s="449" t="inlineStr">
        <is>
          <t>西→東</t>
        </is>
      </c>
      <c r="D42" s="485" t="inlineStr">
        <is>
          <t>③各ドライバーの位置からの帰社のタイミング・夕方の配置</t>
        </is>
      </c>
      <c r="E42" s="486" t="n"/>
      <c r="F42" s="486" t="n"/>
      <c r="G42" s="486" t="n"/>
      <c r="H42" s="486" t="n"/>
      <c r="I42" s="486" t="n"/>
      <c r="J42" s="466" t="n"/>
    </row>
    <row r="43">
      <c r="B43" s="27" t="inlineStr">
        <is>
          <t>④</t>
        </is>
      </c>
      <c r="C43" s="449" t="inlineStr">
        <is>
          <t>西→西</t>
        </is>
      </c>
      <c r="D43" s="485" t="inlineStr">
        <is>
          <t>④依頼を受ける際の、希望時間と現状の位置。行けるか行けないかの判断をしっかりと。</t>
        </is>
      </c>
      <c r="E43" s="486" t="n"/>
      <c r="F43" s="486" t="n"/>
      <c r="G43" s="486" t="n"/>
      <c r="H43" s="486" t="n"/>
      <c r="I43" s="486" t="n"/>
      <c r="J43" s="466" t="n"/>
    </row>
    <row r="44">
      <c r="D44" s="485" t="inlineStr">
        <is>
          <t>⑤軽に乗るか乗らないかの判断に気を付ける。</t>
        </is>
      </c>
      <c r="E44" s="486" t="n"/>
      <c r="F44" s="486" t="n"/>
      <c r="G44" s="486" t="n"/>
      <c r="H44" s="486" t="n"/>
      <c r="I44" s="486" t="n"/>
      <c r="J44" s="466" t="n"/>
    </row>
    <row r="45">
      <c r="B45" s="22" t="n"/>
      <c r="C45" s="420" t="inlineStr">
        <is>
          <t>現状配置(予測)</t>
        </is>
      </c>
      <c r="D45" s="485" t="inlineStr">
        <is>
          <t>⑥18/1日、1.8/1人、3件/1人</t>
        </is>
      </c>
      <c r="E45" s="486" t="n"/>
      <c r="F45" s="486" t="n"/>
      <c r="G45" s="486" t="n"/>
      <c r="H45" s="486" t="n"/>
      <c r="I45" s="486" t="n"/>
      <c r="J45" s="466" t="n"/>
    </row>
    <row r="46">
      <c r="B46" s="420" t="inlineStr">
        <is>
          <t>西(神戸西・弥栄台)</t>
        </is>
      </c>
      <c r="C46" s="420" t="n"/>
      <c r="D46" s="485" t="inlineStr">
        <is>
          <t>⑦依頼書の見落とし(日付、入替、入出庫、場所）</t>
        </is>
      </c>
      <c r="E46" s="486" t="n"/>
      <c r="F46" s="486" t="n"/>
      <c r="G46" s="486" t="n"/>
      <c r="H46" s="486" t="n"/>
      <c r="I46" s="486" t="n"/>
      <c r="J46" s="466" t="n"/>
    </row>
    <row r="47">
      <c r="B47" s="420" t="inlineStr">
        <is>
          <t>真ん中(摩耶・中央)</t>
        </is>
      </c>
      <c r="C47" s="420" t="n"/>
      <c r="D47" s="485" t="inlineStr">
        <is>
          <t>⑧3ｔ車と2ｔ車への振り方(西と東に振り分ける)</t>
        </is>
      </c>
      <c r="E47" s="486" t="n"/>
      <c r="F47" s="486" t="n"/>
      <c r="G47" s="486" t="n"/>
      <c r="H47" s="486" t="n"/>
      <c r="I47" s="486" t="n"/>
      <c r="J47" s="466" t="n"/>
    </row>
    <row r="48">
      <c r="B48" s="420" t="inlineStr">
        <is>
          <t>東(尼崎・伊丹・西宮)</t>
        </is>
      </c>
      <c r="C48" s="420" t="n"/>
      <c r="D48" s="485" t="inlineStr">
        <is>
          <t>⑨</t>
        </is>
      </c>
      <c r="E48" s="486" t="n"/>
      <c r="F48" s="486" t="n"/>
      <c r="G48" s="486" t="n"/>
      <c r="H48" s="486" t="n"/>
      <c r="I48" s="486" t="n"/>
      <c r="J48" s="466" t="n"/>
    </row>
    <row r="49">
      <c r="B49" s="48" t="inlineStr">
        <is>
          <t>極東(港区・淀屋橋)</t>
        </is>
      </c>
      <c r="C49" s="420" t="n"/>
      <c r="D49" s="49" t="n"/>
      <c r="E49" s="49" t="n"/>
      <c r="F49" s="49" t="n"/>
      <c r="G49" s="49" t="n"/>
      <c r="H49" s="49" t="n"/>
      <c r="I49" s="49" t="n"/>
      <c r="J49" s="49" t="n"/>
    </row>
    <row r="50" ht="14.25" customHeight="1" s="462" thickBot="1"/>
    <row r="51">
      <c r="C51" s="473" t="inlineStr">
        <is>
          <t>合計額/380</t>
        </is>
      </c>
      <c r="D51" s="358">
        <f>SUM(G51)</f>
        <v/>
      </c>
      <c r="F51" s="360" t="inlineStr">
        <is>
          <t>売り上げ額</t>
        </is>
      </c>
      <c r="G51" s="362">
        <f>SUM(K4:K18)+SUM('6　14 (2)'!K4:K40)</f>
        <v/>
      </c>
      <c r="H51" s="465" t="n"/>
      <c r="I51" s="465" t="n"/>
      <c r="J51" s="467" t="n"/>
    </row>
    <row r="52" ht="14.25" customHeight="1" s="462" thickBot="1">
      <c r="C52" s="474" t="n"/>
      <c r="D52" s="475" t="n"/>
      <c r="F52" s="468" t="n"/>
      <c r="G52" s="476" t="n"/>
      <c r="H52" s="477" t="n"/>
      <c r="I52" s="477" t="n"/>
      <c r="J52" s="469" t="n"/>
    </row>
    <row r="53">
      <c r="C53" s="478" t="inlineStr">
        <is>
          <t>前日までの売上合計額</t>
        </is>
      </c>
      <c r="D53" s="479">
        <f>SUM('6　13'!D57:D58)</f>
        <v/>
      </c>
    </row>
    <row r="54" ht="14.25" customHeight="1" s="462" thickBot="1">
      <c r="C54" s="480" t="n"/>
      <c r="D54" s="480" t="n"/>
      <c r="F54" s="420" t="inlineStr">
        <is>
          <t>金井（55)</t>
        </is>
      </c>
      <c r="G54" s="345" t="n"/>
      <c r="H54" s="466" t="n"/>
      <c r="I54" s="130" t="n"/>
    </row>
    <row r="55" ht="14.25" customHeight="1" s="462" thickTop="1">
      <c r="D55" s="346">
        <f>D51+D53</f>
        <v/>
      </c>
      <c r="F55" s="420" t="inlineStr">
        <is>
          <t>粟津(55)</t>
        </is>
      </c>
      <c r="G55" s="340" t="n"/>
      <c r="H55" s="466" t="n"/>
      <c r="I55" s="131" t="n"/>
    </row>
    <row r="56">
      <c r="F56" s="420" t="inlineStr">
        <is>
          <t>砂川(50)</t>
        </is>
      </c>
      <c r="G56" s="340" t="n"/>
      <c r="H56" s="466" t="n"/>
      <c r="I56" s="131" t="n"/>
    </row>
    <row r="57">
      <c r="C57" s="2" t="inlineStr">
        <is>
          <t>高代</t>
        </is>
      </c>
      <c r="F57" s="420" t="inlineStr">
        <is>
          <t>前川(50)</t>
        </is>
      </c>
      <c r="G57" s="340" t="n"/>
      <c r="H57" s="466" t="n"/>
      <c r="I57" s="131" t="n"/>
    </row>
    <row r="58">
      <c r="C58" s="2" t="inlineStr">
        <is>
          <t>返還代</t>
        </is>
      </c>
      <c r="F58" s="420" t="inlineStr">
        <is>
          <t>佐藤(50)</t>
        </is>
      </c>
      <c r="G58" s="345" t="n"/>
      <c r="H58" s="466" t="n"/>
      <c r="I58" s="130" t="n"/>
    </row>
    <row r="59">
      <c r="C59" s="2" t="inlineStr">
        <is>
          <t>回収率</t>
        </is>
      </c>
      <c r="D59" s="50">
        <f>D58/D57</f>
        <v/>
      </c>
      <c r="F59" s="420" t="inlineStr">
        <is>
          <t>末次(55)</t>
        </is>
      </c>
      <c r="G59" s="340" t="n"/>
      <c r="H59" s="466" t="n"/>
      <c r="I59" s="131" t="n"/>
    </row>
    <row r="60">
      <c r="C60" s="2" t="inlineStr">
        <is>
          <t>費</t>
        </is>
      </c>
      <c r="D60" s="2">
        <f>D57-D58</f>
        <v/>
      </c>
      <c r="F60" s="420" t="inlineStr">
        <is>
          <t>筒井(75)</t>
        </is>
      </c>
      <c r="G60" s="340" t="n"/>
      <c r="H60" s="466" t="n"/>
      <c r="I60" s="131" t="n"/>
    </row>
    <row r="61">
      <c r="F61" s="420" t="inlineStr">
        <is>
          <t>山岸(40)</t>
        </is>
      </c>
      <c r="G61" s="340" t="n"/>
      <c r="H61" s="466" t="n"/>
      <c r="I61" s="131" t="n"/>
    </row>
    <row r="62" ht="17.25" customHeight="1" s="462">
      <c r="B62" s="71" t="n"/>
      <c r="F62" s="420" t="inlineStr">
        <is>
          <t>多苗(30)</t>
        </is>
      </c>
      <c r="G62" s="340" t="n"/>
      <c r="H62" s="466" t="n"/>
      <c r="I62" s="131" t="n"/>
      <c r="L62" s="2" t="inlineStr">
        <is>
          <t> </t>
        </is>
      </c>
    </row>
    <row r="66" ht="23.25" customHeight="1" s="462"/>
  </sheetData>
  <mergeCells count="51">
    <mergeCell ref="G59:H59"/>
    <mergeCell ref="E24:F24"/>
    <mergeCell ref="E33:F33"/>
    <mergeCell ref="E23:F23"/>
    <mergeCell ref="M5:N5"/>
    <mergeCell ref="D42:J42"/>
    <mergeCell ref="G61:H61"/>
    <mergeCell ref="H20:J21"/>
    <mergeCell ref="K22:K23"/>
    <mergeCell ref="B2:C2"/>
    <mergeCell ref="E20:F20"/>
    <mergeCell ref="H25:J26"/>
    <mergeCell ref="F51:F52"/>
    <mergeCell ref="D44:J44"/>
    <mergeCell ref="G57:H57"/>
    <mergeCell ref="E28:F28"/>
    <mergeCell ref="G62:H62"/>
    <mergeCell ref="M13:N13"/>
    <mergeCell ref="E34:F34"/>
    <mergeCell ref="D53:D54"/>
    <mergeCell ref="D46:J46"/>
    <mergeCell ref="M15:N15"/>
    <mergeCell ref="D40:J40"/>
    <mergeCell ref="C51:C52"/>
    <mergeCell ref="K20:K21"/>
    <mergeCell ref="D45:J45"/>
    <mergeCell ref="G51:J52"/>
    <mergeCell ref="E27:F27"/>
    <mergeCell ref="G58:H58"/>
    <mergeCell ref="E36:F36"/>
    <mergeCell ref="D55:D56"/>
    <mergeCell ref="M3:N3"/>
    <mergeCell ref="E26:F26"/>
    <mergeCell ref="H22:J23"/>
    <mergeCell ref="G55:H55"/>
    <mergeCell ref="M17:N17"/>
    <mergeCell ref="C53:C54"/>
    <mergeCell ref="D41:J41"/>
    <mergeCell ref="D48:J48"/>
    <mergeCell ref="D51:D52"/>
    <mergeCell ref="E25:F25"/>
    <mergeCell ref="G54:H54"/>
    <mergeCell ref="K25:K26"/>
    <mergeCell ref="D47:J47"/>
    <mergeCell ref="E37:F37"/>
    <mergeCell ref="E22:F22"/>
    <mergeCell ref="G60:H60"/>
    <mergeCell ref="D43:J43"/>
    <mergeCell ref="M4:N4"/>
    <mergeCell ref="G56:H56"/>
    <mergeCell ref="E21:F21"/>
  </mergeCells>
  <conditionalFormatting sqref="L3:L19">
    <cfRule type="cellIs" priority="3" operator="greaterThan" dxfId="0">
      <formula>30</formula>
    </cfRule>
  </conditionalFormatting>
  <conditionalFormatting sqref="K22:K23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5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50" horizontalDpi="1200" verticalDpi="1200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N86"/>
  <sheetViews>
    <sheetView tabSelected="1" topLeftCell="D7" zoomScale="85" zoomScaleNormal="85" workbookViewId="0">
      <selection activeCell="K30" sqref="K30:K33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8" bestFit="1" customWidth="1" style="2" min="3" max="3"/>
    <col width="22.625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10"/>
    <col width="19.625" customWidth="1" style="2" min="11" max="11"/>
    <col width="7" customWidth="1" style="2" min="12" max="12"/>
    <col width="8.75" customWidth="1" style="2" min="13" max="16384"/>
  </cols>
  <sheetData>
    <row r="1"/>
    <row r="2" ht="15" customHeight="1" s="462" thickBot="1">
      <c r="B2" s="493" t="n">
        <v>46187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2" t="inlineStr">
        <is>
          <t>メモ</t>
        </is>
      </c>
      <c r="N3" s="464" t="n"/>
    </row>
    <row r="4" ht="46.5" customHeight="1" s="462">
      <c r="A4" s="423" t="n"/>
      <c r="B4" s="312" t="inlineStr">
        <is>
          <t xml:space="preserve">郡司：定時
</t>
        </is>
      </c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465" t="n"/>
    </row>
    <row r="5" ht="27.75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65" t="n"/>
      <c r="H5" s="260" t="n"/>
      <c r="I5" s="119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</row>
    <row r="6" ht="27.75" customHeight="1" s="462">
      <c r="A6" s="423">
        <f>IF(B6="","",COUNTA($B$5:B6))</f>
        <v/>
      </c>
      <c r="B6" s="57" t="n"/>
      <c r="C6" s="64" t="n"/>
      <c r="D6" s="441" t="n"/>
      <c r="E6" s="441" t="n"/>
      <c r="F6" s="57" t="n"/>
      <c r="G6" s="247" t="n"/>
      <c r="H6" s="260" t="n"/>
      <c r="I6" s="11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</row>
    <row r="7" ht="27.75" customHeight="1" s="462">
      <c r="A7" s="423">
        <f>IF(B7="","",COUNTA($B$5:B7))</f>
        <v/>
      </c>
      <c r="B7" s="57" t="n"/>
      <c r="C7" s="57" t="n"/>
      <c r="D7" s="441" t="n"/>
      <c r="E7" s="441" t="n"/>
      <c r="F7" s="57" t="n"/>
      <c r="G7" s="65" t="n"/>
      <c r="H7" s="260" t="n"/>
      <c r="I7" s="119" t="n"/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</row>
    <row r="8" ht="43.5" customHeight="1" s="462">
      <c r="A8" s="423">
        <f>IF(B8="","",COUNTA($B$5:B8))</f>
        <v/>
      </c>
      <c r="B8" s="57" t="n"/>
      <c r="C8" s="64" t="n"/>
      <c r="D8" s="441" t="n"/>
      <c r="E8" s="441" t="n"/>
      <c r="F8" s="57" t="n"/>
      <c r="G8" s="66" t="n"/>
      <c r="H8" s="260" t="n"/>
      <c r="I8" s="119" t="n"/>
      <c r="J8" s="57" t="n"/>
      <c r="K8" s="72" t="n"/>
      <c r="L8" s="61" t="n"/>
      <c r="M8" s="449" t="n"/>
      <c r="N8" s="449" t="n"/>
    </row>
    <row r="9" ht="42" customHeight="1" s="462">
      <c r="A9" s="423">
        <f>IF(B9="","",COUNTA($B$5:B9))</f>
        <v/>
      </c>
      <c r="B9" s="57" t="n"/>
      <c r="C9" s="441" t="n"/>
      <c r="D9" s="441" t="n"/>
      <c r="E9" s="441" t="n"/>
      <c r="F9" s="57" t="n"/>
      <c r="G9" s="59" t="n"/>
      <c r="H9" s="260" t="n"/>
      <c r="I9" s="119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</row>
    <row r="10" ht="27.75" customHeight="1" s="462">
      <c r="A10" s="423">
        <f>IF(B10="","",COUNTA($B$5:B10))</f>
        <v/>
      </c>
      <c r="B10" s="57" t="n"/>
      <c r="C10" s="441" t="n"/>
      <c r="D10" s="441" t="n"/>
      <c r="E10" s="441" t="n"/>
      <c r="F10" s="57" t="n"/>
      <c r="G10" s="65" t="n"/>
      <c r="H10" s="260" t="n"/>
      <c r="I10" s="119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</row>
    <row r="11" ht="27.75" customHeight="1" s="462">
      <c r="A11" s="423">
        <f>IF(B11="","",COUNTA($B$5:B11))</f>
        <v/>
      </c>
      <c r="B11" s="57" t="n"/>
      <c r="C11" s="63" t="n"/>
      <c r="D11" s="441" t="n"/>
      <c r="E11" s="461" t="n"/>
      <c r="F11" s="57" t="n"/>
      <c r="G11" s="65" t="n"/>
      <c r="H11" s="260" t="n"/>
      <c r="I11" s="119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</row>
    <row r="12" ht="54" customHeight="1" s="462">
      <c r="A12" s="423">
        <f>IF(B12="","",COUNTA($B$5:B12))</f>
        <v/>
      </c>
      <c r="B12" s="57" t="n"/>
      <c r="C12" s="441" t="n"/>
      <c r="D12" s="441" t="n"/>
      <c r="E12" s="441" t="n"/>
      <c r="F12" s="57" t="n"/>
      <c r="G12" s="65" t="n"/>
      <c r="H12" s="260" t="n"/>
      <c r="I12" s="119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</row>
    <row r="13" ht="40.5" customHeight="1" s="462">
      <c r="A13" s="423">
        <f>IF(B13="","",COUNTA($B$5:B13))</f>
        <v/>
      </c>
      <c r="B13" s="57" t="n"/>
      <c r="C13" s="441" t="n"/>
      <c r="D13" s="441" t="n"/>
      <c r="E13" s="441" t="n"/>
      <c r="F13" s="57" t="n"/>
      <c r="G13" s="65" t="n"/>
      <c r="H13" s="260" t="n"/>
      <c r="I13" s="119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</row>
    <row r="14" ht="36" customHeight="1" s="462">
      <c r="A14" s="423">
        <f>IF(B14="","",COUNTA($B$5:B14))</f>
        <v/>
      </c>
      <c r="B14" s="57" t="n"/>
      <c r="C14" s="64" t="n"/>
      <c r="D14" s="63" t="n"/>
      <c r="E14" s="441" t="n"/>
      <c r="F14" s="57" t="n"/>
      <c r="G14" s="247" t="n"/>
      <c r="H14" s="294" t="n"/>
      <c r="I14" s="444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</row>
    <row r="15" ht="27.75" customHeight="1" s="462">
      <c r="A15" s="423">
        <f>IF(B15="","",COUNTA($B$5:B15))</f>
        <v/>
      </c>
      <c r="B15" s="57" t="n"/>
      <c r="C15" s="441" t="n"/>
      <c r="D15" s="441" t="n"/>
      <c r="E15" s="441" t="n"/>
      <c r="F15" s="57" t="n"/>
      <c r="G15" s="207" t="n"/>
      <c r="H15" s="260" t="n"/>
      <c r="I15" s="120" t="n"/>
      <c r="J15" s="420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</row>
    <row r="16" ht="27.75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260" t="n"/>
      <c r="I16" s="119" t="n"/>
      <c r="J16" s="57" t="n"/>
      <c r="K16" s="73" t="n"/>
      <c r="L16" s="61" t="n"/>
      <c r="M16" s="449" t="n"/>
      <c r="N16" s="449" t="n"/>
    </row>
    <row r="17" ht="27.75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260" t="n"/>
      <c r="I17" s="119" t="n"/>
      <c r="J17" s="57" t="n"/>
      <c r="K17" s="72" t="n"/>
      <c r="L17" s="61" t="n"/>
      <c r="M17" s="449" t="n"/>
      <c r="N17" s="449" t="n"/>
    </row>
    <row r="18" ht="27.75" customHeight="1" s="462">
      <c r="A18" s="423">
        <f>IF(B18="","",COUNTA($B$5:B18))</f>
        <v/>
      </c>
      <c r="B18" s="441" t="n"/>
      <c r="C18" s="63" t="n"/>
      <c r="D18" s="441" t="n"/>
      <c r="E18" s="441" t="n"/>
      <c r="F18" s="57" t="n"/>
      <c r="G18" s="59" t="n"/>
      <c r="H18" s="260" t="n"/>
      <c r="I18" s="119" t="n"/>
      <c r="J18" s="57" t="n"/>
      <c r="K18" s="72" t="n"/>
      <c r="L18" s="61" t="n"/>
      <c r="M18" s="449" t="n"/>
      <c r="N18" s="449" t="n"/>
    </row>
    <row r="19" ht="27.75" customHeight="1" s="462">
      <c r="A19" s="423">
        <f>IF(B19="","",COUNTA($B$5:B19))</f>
        <v/>
      </c>
      <c r="B19" s="57" t="inlineStr">
        <is>
          <t>松本運輸倉庫</t>
        </is>
      </c>
      <c r="C19" s="420" t="inlineStr">
        <is>
          <t>改良材＊3</t>
        </is>
      </c>
      <c r="D19" s="63" t="inlineStr">
        <is>
          <t>尼崎</t>
        </is>
      </c>
      <c r="E19" s="441" t="inlineStr">
        <is>
          <t>兵庫区</t>
        </is>
      </c>
      <c r="F19" s="57" t="n"/>
      <c r="G19" s="65" t="inlineStr">
        <is>
          <t>9時頃</t>
        </is>
      </c>
      <c r="H19" s="260" t="n">
        <v>110</v>
      </c>
      <c r="I19" s="119" t="inlineStr">
        <is>
          <t>多</t>
        </is>
      </c>
      <c r="J19" s="57" t="n"/>
      <c r="K19" s="72" t="n">
        <v>15000</v>
      </c>
      <c r="L19" s="61" t="n"/>
      <c r="M19" s="449" t="n"/>
    </row>
    <row r="20" ht="27.75" customHeight="1" s="462">
      <c r="A20" s="423">
        <f>IF(B20="","",COUNTA($B$5:B20))</f>
        <v/>
      </c>
      <c r="B20" s="57" t="inlineStr">
        <is>
          <t>N神戸新港</t>
        </is>
      </c>
      <c r="C20" s="441" t="inlineStr">
        <is>
          <t>モルタルポンプ</t>
        </is>
      </c>
      <c r="D20" s="441" t="inlineStr">
        <is>
          <t>神戸新港（営）</t>
        </is>
      </c>
      <c r="E20" s="441" t="inlineStr">
        <is>
          <t>NISSHO</t>
        </is>
      </c>
      <c r="F20" s="57" t="inlineStr">
        <is>
          <t>回送分</t>
        </is>
      </c>
      <c r="G20" s="65" t="inlineStr">
        <is>
          <t>日中</t>
        </is>
      </c>
      <c r="H20" s="260" t="inlineStr">
        <is>
          <t>333＊2</t>
        </is>
      </c>
      <c r="I20" s="119" t="n"/>
      <c r="J20" s="57" t="n">
        <v>36</v>
      </c>
      <c r="K20" s="73" t="n">
        <v>9000</v>
      </c>
      <c r="L20" s="61" t="n">
        <v>36</v>
      </c>
      <c r="M20" s="449" t="n"/>
      <c r="N20" s="449" t="n"/>
    </row>
    <row r="21" ht="27.75" customHeight="1" s="462">
      <c r="A21" s="423">
        <f>IF(B21="","",COUNTA($B$5:B21))</f>
        <v/>
      </c>
      <c r="B21" s="57" t="inlineStr">
        <is>
          <t>N大阪港</t>
        </is>
      </c>
      <c r="C21" s="63" t="inlineStr">
        <is>
          <t>コンスタワー・
勇馬・送風機・ダクト</t>
        </is>
      </c>
      <c r="D21" s="441" t="inlineStr">
        <is>
          <t>大阪市水道局
柴島浄水場</t>
        </is>
      </c>
      <c r="E21" s="441" t="inlineStr">
        <is>
          <t>大阪建築C
大阪便利C</t>
        </is>
      </c>
      <c r="F21" s="57" t="inlineStr">
        <is>
          <t>富士古河E&amp;C</t>
        </is>
      </c>
      <c r="G21" s="65" t="inlineStr">
        <is>
          <t>15時～
16時</t>
        </is>
      </c>
      <c r="H21" s="260" t="inlineStr">
        <is>
          <t>333＊3</t>
        </is>
      </c>
      <c r="I21" s="119" t="n"/>
      <c r="J21" s="57" t="n">
        <v>26</v>
      </c>
      <c r="K21" s="73" t="n">
        <v>20000</v>
      </c>
      <c r="L21" s="61" t="n">
        <v>26</v>
      </c>
      <c r="M21" s="449" t="n"/>
      <c r="N21" s="449" t="n"/>
    </row>
    <row r="22" ht="40.5" customHeight="1" s="462">
      <c r="A22" s="423">
        <f>IF(B22="","",COUNTA($B$5:B22))</f>
        <v/>
      </c>
      <c r="B22" s="441" t="inlineStr">
        <is>
          <t>N尼崎</t>
        </is>
      </c>
      <c r="C22" s="63" t="inlineStr">
        <is>
          <t>送風機・勇馬</t>
        </is>
      </c>
      <c r="D22" s="441" t="inlineStr">
        <is>
          <t>木津川ベース</t>
        </is>
      </c>
      <c r="E22" s="441" t="inlineStr">
        <is>
          <t>アクトワンヤマイチ大正
アール＆アール
大阪建築C</t>
        </is>
      </c>
      <c r="F22" s="57" t="inlineStr">
        <is>
          <t>ナカバヤシ</t>
        </is>
      </c>
      <c r="G22" s="59" t="inlineStr">
        <is>
          <t>AM</t>
        </is>
      </c>
      <c r="H22" s="260" t="n">
        <v>666</v>
      </c>
      <c r="I22" s="119" t="inlineStr">
        <is>
          <t>森</t>
        </is>
      </c>
      <c r="J22" s="57" t="n">
        <v>11</v>
      </c>
      <c r="K22" s="73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>
        <v>11</v>
      </c>
      <c r="M22" s="449" t="n"/>
    </row>
    <row r="23" ht="27.75" customHeight="1" s="462">
      <c r="A23" s="423">
        <f>IF(B23="","",COUNTA($B$5:B23))</f>
        <v/>
      </c>
      <c r="B23" s="57" t="inlineStr">
        <is>
          <t>N尼崎</t>
        </is>
      </c>
      <c r="C23" s="63" t="inlineStr">
        <is>
          <t>移動式防音ゲート・
ジョイントバー</t>
        </is>
      </c>
      <c r="D23" s="441" t="inlineStr">
        <is>
          <t>明治商工</t>
        </is>
      </c>
      <c r="E23" s="441" t="inlineStr">
        <is>
          <t>高槻市大手八幡線</t>
        </is>
      </c>
      <c r="F23" s="57" t="inlineStr">
        <is>
          <t>ミライト・ワン</t>
        </is>
      </c>
      <c r="G23" s="65" t="inlineStr">
        <is>
          <t>日中</t>
        </is>
      </c>
      <c r="H23" s="260" t="inlineStr">
        <is>
          <t>666＊2</t>
        </is>
      </c>
      <c r="I23" s="119" t="n"/>
      <c r="J23" s="57" t="n">
        <v>16</v>
      </c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>
        <v>16</v>
      </c>
      <c r="M23" s="449" t="n"/>
      <c r="N23" s="449" t="n"/>
    </row>
    <row r="24" ht="27.75" customHeight="1" s="462">
      <c r="A24" s="423">
        <f>IF(B24="","",COUNTA($B$5:B24))</f>
        <v/>
      </c>
      <c r="B24" s="57" t="inlineStr">
        <is>
          <t>N伊丹</t>
        </is>
      </c>
      <c r="C24" s="63" t="inlineStr">
        <is>
          <t>ライナックス</t>
        </is>
      </c>
      <c r="D24" s="441" t="inlineStr">
        <is>
          <t>箕面</t>
        </is>
      </c>
      <c r="E24" s="441" t="inlineStr">
        <is>
          <t>アール＆アール</t>
        </is>
      </c>
      <c r="F24" s="57" t="inlineStr">
        <is>
          <t>スカイインフィニティ</t>
        </is>
      </c>
      <c r="G24" s="65" t="inlineStr">
        <is>
          <t>夕方</t>
        </is>
      </c>
      <c r="H24" s="260" t="inlineStr">
        <is>
          <t>666＊3</t>
        </is>
      </c>
      <c r="I24" s="119" t="n"/>
      <c r="J24" s="57" t="n">
        <v>26</v>
      </c>
      <c r="K24" s="72" t="n">
        <v>10000</v>
      </c>
      <c r="L24" s="61" t="n">
        <v>26</v>
      </c>
      <c r="M24" s="449" t="n"/>
      <c r="N24" s="449" t="n"/>
    </row>
    <row r="25" ht="27.75" customHeight="1" s="462">
      <c r="A25" s="423">
        <f>IF(B25="","",COUNTA($B$5:B25))</f>
        <v/>
      </c>
      <c r="B25" s="57" t="inlineStr">
        <is>
          <t>N営業3課</t>
        </is>
      </c>
      <c r="C25" s="63" t="inlineStr">
        <is>
          <t>2㎥ノッチタンク</t>
        </is>
      </c>
      <c r="D25" s="441" t="inlineStr">
        <is>
          <t>東京機材</t>
        </is>
      </c>
      <c r="E25" s="63" t="inlineStr">
        <is>
          <t>エグゼディ上野事業所
(三重県伊賀)</t>
        </is>
      </c>
      <c r="F25" s="57" t="inlineStr">
        <is>
          <t>三貴</t>
        </is>
      </c>
      <c r="G25" s="66" t="inlineStr">
        <is>
          <t>AM</t>
        </is>
      </c>
      <c r="H25" s="260" t="n">
        <v>777</v>
      </c>
      <c r="I25" s="120" t="inlineStr">
        <is>
          <t>郡</t>
        </is>
      </c>
      <c r="J25" s="420" t="n">
        <v>110</v>
      </c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>
        <v>110</v>
      </c>
      <c r="M25" s="449" t="n"/>
    </row>
    <row r="26" ht="27.75" customHeight="1" s="462">
      <c r="A26" s="423">
        <f>IF(B26="","",COUNTA($B$5:B26))</f>
        <v/>
      </c>
      <c r="B26" s="57" t="inlineStr">
        <is>
          <t>N営業3課</t>
        </is>
      </c>
      <c r="C26" s="63" t="inlineStr">
        <is>
          <t>三脚・ディスクボール・
コードリール・ミニバルーンライト</t>
        </is>
      </c>
      <c r="D26" s="441" t="inlineStr">
        <is>
          <t>エグゼディ上野事業所
(三重県伊賀)</t>
        </is>
      </c>
      <c r="E26" s="441" t="inlineStr">
        <is>
          <t>大阪便利C
大阪西淀(営)</t>
        </is>
      </c>
      <c r="F26" s="57" t="inlineStr">
        <is>
          <t>三貴</t>
        </is>
      </c>
      <c r="G26" s="65" t="inlineStr">
        <is>
          <t>引取り</t>
        </is>
      </c>
      <c r="H26" s="260" t="inlineStr">
        <is>
          <t>777＊2</t>
        </is>
      </c>
      <c r="I26" s="119" t="n"/>
      <c r="J26" s="57" t="n">
        <v>82</v>
      </c>
      <c r="K26" s="72" t="n">
        <v>16000</v>
      </c>
      <c r="L26" s="61" t="n">
        <v>82</v>
      </c>
      <c r="M26" s="449" t="n"/>
      <c r="N26" s="449" t="n"/>
    </row>
    <row r="27" ht="27.75" customHeight="1" s="462">
      <c r="A27" s="423">
        <f>IF(B27="","",COUNTA($B$5:B27))</f>
        <v/>
      </c>
      <c r="B27" s="57" t="inlineStr">
        <is>
          <t>N神戸中央</t>
        </is>
      </c>
      <c r="C27" s="441" t="inlineStr">
        <is>
          <t>2.8KVA発電機・
ハンドパレット</t>
        </is>
      </c>
      <c r="D27" s="441" t="inlineStr">
        <is>
          <t>ヴィッセル神戸</t>
        </is>
      </c>
      <c r="E27" s="62" t="inlineStr">
        <is>
          <t>神戸中央(営)</t>
        </is>
      </c>
      <c r="F27" s="441" t="inlineStr">
        <is>
          <t>ダスキンレントオール</t>
        </is>
      </c>
      <c r="G27" s="59" t="n">
        <v>0.4375</v>
      </c>
      <c r="H27" s="294" t="inlineStr">
        <is>
          <t>888
110＊2</t>
        </is>
      </c>
      <c r="I27" s="444" t="inlineStr">
        <is>
          <t>平
多</t>
        </is>
      </c>
      <c r="J27" s="57" t="n">
        <v>13</v>
      </c>
      <c r="K27" s="72" t="n">
        <v>30000</v>
      </c>
      <c r="L27" s="61" t="n">
        <v>13</v>
      </c>
      <c r="M27" s="449" t="n"/>
      <c r="N27" s="449" t="n"/>
    </row>
    <row r="28" ht="27.75" customHeight="1" s="462">
      <c r="A28" s="423">
        <f>IF(B28="","",COUNTA($B$5:B28))</f>
        <v/>
      </c>
      <c r="B28" s="57" t="inlineStr">
        <is>
          <t>N摩耶</t>
        </is>
      </c>
      <c r="C28" s="63" t="inlineStr">
        <is>
          <t>ゴルフカート＊2</t>
        </is>
      </c>
      <c r="D28" s="441" t="inlineStr">
        <is>
          <t>兵庫車両課</t>
        </is>
      </c>
      <c r="E28" s="441" t="inlineStr">
        <is>
          <t>千刈CC
(三田)</t>
        </is>
      </c>
      <c r="F28" s="57" t="inlineStr">
        <is>
          <t>摩耶営業所</t>
        </is>
      </c>
      <c r="G28" s="65" t="inlineStr">
        <is>
          <t>13時～
14時</t>
        </is>
      </c>
      <c r="H28" s="260" t="inlineStr">
        <is>
          <t>888＊2</t>
        </is>
      </c>
      <c r="I28" s="119" t="n"/>
      <c r="J28" s="57" t="n">
        <v>42</v>
      </c>
      <c r="K28" s="72" t="n">
        <v>30000</v>
      </c>
      <c r="L28" s="61" t="n">
        <v>42</v>
      </c>
      <c r="M28" s="449" t="n"/>
      <c r="N28" s="449" t="n"/>
    </row>
    <row r="29" ht="27.75" customHeight="1" s="462">
      <c r="A29" s="423">
        <f>IF(B29="","",COUNTA($B$5:B29))</f>
        <v/>
      </c>
      <c r="B29" s="57" t="inlineStr">
        <is>
          <t>N営業3課</t>
        </is>
      </c>
      <c r="C29" s="63" t="inlineStr">
        <is>
          <t>カニクレーン</t>
        </is>
      </c>
      <c r="D29" s="441" t="inlineStr">
        <is>
          <t>新日本建販
大東リースセンター</t>
        </is>
      </c>
      <c r="E29" s="441" t="inlineStr">
        <is>
          <t>USJ</t>
        </is>
      </c>
      <c r="F29" s="57" t="inlineStr">
        <is>
          <t>ケーアンドイー</t>
        </is>
      </c>
      <c r="G29" s="65" t="inlineStr">
        <is>
          <t>日中</t>
        </is>
      </c>
      <c r="H29" s="260" t="inlineStr">
        <is>
          <t>888＊3</t>
        </is>
      </c>
      <c r="I29" s="119" t="n"/>
      <c r="J29" s="57" t="n">
        <v>32</v>
      </c>
      <c r="K29" s="72" t="n">
        <v>26000</v>
      </c>
      <c r="L29" s="61" t="n">
        <v>32</v>
      </c>
      <c r="M29" s="449" t="n"/>
      <c r="N29" s="449" t="n"/>
    </row>
    <row r="30" ht="27.75" customHeight="1" s="462">
      <c r="A30" s="423">
        <f>IF(B30="","",COUNTA($B$5:B30))</f>
        <v/>
      </c>
      <c r="B30" s="57" t="inlineStr">
        <is>
          <t>N特需大阪</t>
        </is>
      </c>
      <c r="C30" s="441" t="inlineStr">
        <is>
          <t>ミスト付扇風機</t>
        </is>
      </c>
      <c r="D30" s="441" t="inlineStr">
        <is>
          <t>関西プラントC</t>
        </is>
      </c>
      <c r="E30" s="441" t="inlineStr">
        <is>
          <t>西宮市久寿川
ポンプ場</t>
        </is>
      </c>
      <c r="F30" s="57" t="inlineStr">
        <is>
          <t>日立プラントサービス</t>
        </is>
      </c>
      <c r="G30" s="247" t="inlineStr">
        <is>
          <t>AM</t>
        </is>
      </c>
      <c r="H30" s="260" t="n">
        <v>7657</v>
      </c>
      <c r="I30" s="119" t="inlineStr">
        <is>
          <t>砂</t>
        </is>
      </c>
      <c r="J30" s="57" t="n">
        <v>41</v>
      </c>
      <c r="K30" s="72" t="n">
        <v>12000</v>
      </c>
      <c r="L30" s="61" t="n">
        <v>41</v>
      </c>
      <c r="M30" s="449" t="n"/>
    </row>
    <row r="31" ht="27.75" customHeight="1" s="462">
      <c r="A31" s="423">
        <f>IF(B31="","",COUNTA($B$5:B31))</f>
        <v/>
      </c>
      <c r="B31" s="57" t="inlineStr">
        <is>
          <t>N伊丹</t>
        </is>
      </c>
      <c r="C31" s="441" t="inlineStr">
        <is>
          <t>45kg製氷機・
ウオータークーラー</t>
        </is>
      </c>
      <c r="D31" s="441" t="inlineStr">
        <is>
          <t>大阪便利C
伊丹(営)</t>
        </is>
      </c>
      <c r="E31" s="441" t="inlineStr">
        <is>
          <t>(仮称)阿倍野区松崎町
3丁目計画</t>
        </is>
      </c>
      <c r="F31" s="57" t="inlineStr">
        <is>
          <t>メルディアDC</t>
        </is>
      </c>
      <c r="G31" s="65" t="inlineStr">
        <is>
          <t>日中</t>
        </is>
      </c>
      <c r="H31" s="260" t="inlineStr">
        <is>
          <t>7657＊2</t>
        </is>
      </c>
      <c r="I31" s="119" t="n"/>
      <c r="J31" s="57" t="n">
        <v>38</v>
      </c>
      <c r="K31" s="72" t="n">
        <v>11000</v>
      </c>
      <c r="L31" s="61" t="n">
        <v>38</v>
      </c>
      <c r="M31" s="449" t="n"/>
      <c r="N31" s="449" t="n"/>
    </row>
    <row r="32" ht="27.75" customHeight="1" s="462">
      <c r="A32" s="423">
        <f>IF(B32="","",COUNTA($B$5:B32))</f>
        <v/>
      </c>
      <c r="B32" s="441" t="inlineStr">
        <is>
          <t>N伊丹</t>
        </is>
      </c>
      <c r="C32" s="440" t="inlineStr">
        <is>
          <t>ブルーヒーター</t>
        </is>
      </c>
      <c r="D32" s="441" t="inlineStr">
        <is>
          <t>(仮称)阿倍野区松崎町
3丁目計画</t>
        </is>
      </c>
      <c r="E32" s="249" t="inlineStr">
        <is>
          <t>デザインアーク奈良</t>
        </is>
      </c>
      <c r="F32" s="57" t="inlineStr">
        <is>
          <t>メルディアDC</t>
        </is>
      </c>
      <c r="G32" s="65" t="inlineStr">
        <is>
          <t>引取り</t>
        </is>
      </c>
      <c r="H32" s="260" t="inlineStr">
        <is>
          <t>7657＊3</t>
        </is>
      </c>
      <c r="I32" s="119" t="n"/>
      <c r="J32" s="57" t="n">
        <v>33</v>
      </c>
      <c r="K32" s="72" t="n">
        <v>9000</v>
      </c>
      <c r="L32" s="61" t="n">
        <v>33</v>
      </c>
      <c r="M32" s="449" t="n"/>
      <c r="N32" s="449" t="n"/>
    </row>
    <row r="33" ht="27.75" customHeight="1" s="462">
      <c r="A33" s="423">
        <f>IF(B33="","",COUNTA($B$5:B33))</f>
        <v/>
      </c>
      <c r="B33" s="441" t="inlineStr">
        <is>
          <t>N伊丹</t>
        </is>
      </c>
      <c r="C33" s="440" t="inlineStr">
        <is>
          <t>N-1200・GTW12号</t>
        </is>
      </c>
      <c r="D33" s="441" t="inlineStr">
        <is>
          <t>大阪建築C</t>
        </is>
      </c>
      <c r="E33" s="441" t="inlineStr">
        <is>
          <t>(仮称)プレサンスレイズ
天王寺小橋町</t>
        </is>
      </c>
      <c r="F33" s="57" t="inlineStr">
        <is>
          <t>メルディアDC</t>
        </is>
      </c>
      <c r="G33" s="65" t="inlineStr">
        <is>
          <t>日中</t>
        </is>
      </c>
      <c r="H33" s="260" t="inlineStr">
        <is>
          <t>7657＊4</t>
        </is>
      </c>
      <c r="I33" s="120" t="n"/>
      <c r="J33" s="420" t="n">
        <v>6</v>
      </c>
      <c r="K33" s="72" t="n">
        <v>5000</v>
      </c>
      <c r="L33" s="61" t="n">
        <v>6</v>
      </c>
      <c r="M33" s="449" t="n"/>
    </row>
    <row r="34" ht="27.75" customHeight="1" s="462">
      <c r="A34" s="423">
        <f>IF(B34="","",COUNTA($B$5:B34))</f>
        <v/>
      </c>
      <c r="B34" s="441" t="inlineStr">
        <is>
          <t>アクティオ神戸中央</t>
        </is>
      </c>
      <c r="C34" s="441" t="inlineStr">
        <is>
          <t>SGセトー＊2</t>
        </is>
      </c>
      <c r="D34" s="282" t="inlineStr">
        <is>
          <t>大阪DLセンター</t>
        </is>
      </c>
      <c r="E34" s="282" t="inlineStr">
        <is>
          <t>渡辺K西神戸</t>
        </is>
      </c>
      <c r="F34" s="57" t="inlineStr">
        <is>
          <t>エクシオテック</t>
        </is>
      </c>
      <c r="G34" s="65" t="inlineStr">
        <is>
          <t>宵</t>
        </is>
      </c>
      <c r="H34" s="260" t="inlineStr">
        <is>
          <t>7657＊5</t>
        </is>
      </c>
      <c r="I34" s="119" t="n"/>
      <c r="J34" s="57" t="n"/>
      <c r="K34" s="72" t="n">
        <v>5000</v>
      </c>
      <c r="L34" s="61" t="n"/>
      <c r="M34" s="449" t="n"/>
      <c r="N34" s="449" t="n"/>
    </row>
    <row r="35" ht="27.75" customHeight="1" s="462">
      <c r="A35" s="423">
        <f>IF(B35="","",COUNTA($B$5:B35))</f>
        <v/>
      </c>
      <c r="B35" s="57" t="inlineStr">
        <is>
          <t>川西倉庫</t>
        </is>
      </c>
      <c r="C35" s="441" t="inlineStr">
        <is>
          <t>部材</t>
        </is>
      </c>
      <c r="D35" s="441" t="inlineStr">
        <is>
          <t>神出東</t>
        </is>
      </c>
      <c r="E35" s="441" t="inlineStr">
        <is>
          <t>CAT明石</t>
        </is>
      </c>
      <c r="F35" s="57" t="inlineStr">
        <is>
          <t>大花部長</t>
        </is>
      </c>
      <c r="G35" s="247" t="inlineStr">
        <is>
          <t>AM</t>
        </is>
      </c>
      <c r="H35" s="260" t="n">
        <v>7732</v>
      </c>
      <c r="I35" s="119" t="inlineStr">
        <is>
          <t>山岸</t>
        </is>
      </c>
      <c r="J35" s="57" t="n">
        <v>5</v>
      </c>
      <c r="K35" s="72" t="n">
        <v>5000</v>
      </c>
      <c r="L35" s="61" t="n">
        <v>5</v>
      </c>
      <c r="M35" s="449" t="n"/>
      <c r="N35" s="449" t="n"/>
    </row>
    <row r="36" ht="27.75" customHeight="1" s="462">
      <c r="A36" s="423">
        <f>IF(B36="","",COUNTA($B$5:B36))</f>
        <v/>
      </c>
      <c r="B36" s="441" t="inlineStr">
        <is>
          <t>N大阪</t>
        </is>
      </c>
      <c r="C36" s="440" t="inlineStr">
        <is>
          <t>ミニムーンテラスター</t>
        </is>
      </c>
      <c r="D36" s="441" t="inlineStr">
        <is>
          <t>姫路東（営）</t>
        </is>
      </c>
      <c r="E36" s="440" t="inlineStr">
        <is>
          <t>稲美中央公園</t>
        </is>
      </c>
      <c r="F36" s="57" t="inlineStr">
        <is>
          <t>スポーツテクノ和広</t>
        </is>
      </c>
      <c r="G36" s="65" t="inlineStr">
        <is>
          <t>AM</t>
        </is>
      </c>
      <c r="H36" s="260" t="inlineStr">
        <is>
          <t>7732＊2</t>
        </is>
      </c>
      <c r="I36" s="119" t="n"/>
      <c r="J36" s="57" t="n">
        <v>26</v>
      </c>
      <c r="K36" s="72" t="n">
        <v>9500</v>
      </c>
      <c r="L36" s="61" t="n">
        <v>26</v>
      </c>
      <c r="M36" s="449" t="n"/>
      <c r="N36" s="449" t="n"/>
    </row>
    <row r="37" ht="27.75" customHeight="1" s="462">
      <c r="A37" s="423">
        <f>IF(B37="","",COUNTA($B$5:B37))</f>
        <v/>
      </c>
      <c r="B37" s="57" t="inlineStr">
        <is>
          <t>N姫路</t>
        </is>
      </c>
      <c r="C37" s="63" t="inlineStr">
        <is>
          <t>プラシキ＊10</t>
        </is>
      </c>
      <c r="D37" s="441" t="inlineStr">
        <is>
          <t>西二見町</t>
        </is>
      </c>
      <c r="E37" s="441" t="inlineStr">
        <is>
          <t>大阪建築C</t>
        </is>
      </c>
      <c r="F37" s="57" t="inlineStr">
        <is>
          <t>大拓電気</t>
        </is>
      </c>
      <c r="G37" s="65" t="inlineStr">
        <is>
          <t>昼前後</t>
        </is>
      </c>
      <c r="H37" s="260" t="inlineStr">
        <is>
          <t>7732＊3</t>
        </is>
      </c>
      <c r="I37" s="119" t="n"/>
      <c r="J37" s="57" t="n">
        <v>66</v>
      </c>
      <c r="K37" s="72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>
        <v>66</v>
      </c>
      <c r="M37" s="449" t="n"/>
      <c r="N37" s="449" t="n"/>
    </row>
    <row r="38" ht="27.75" customHeight="1" s="462">
      <c r="A38" s="423">
        <f>IF(B38="","",COUNTA($B$5:B38))</f>
        <v/>
      </c>
      <c r="B38" s="441" t="inlineStr">
        <is>
          <t>N尼崎</t>
        </is>
      </c>
      <c r="C38" s="63" t="inlineStr">
        <is>
          <t>親綱</t>
        </is>
      </c>
      <c r="D38" s="441" t="inlineStr">
        <is>
          <t>キョーワ</t>
        </is>
      </c>
      <c r="E38" s="441" t="inlineStr">
        <is>
          <t>原田処理場</t>
        </is>
      </c>
      <c r="F38" s="57" t="inlineStr">
        <is>
          <t>白石鉄工</t>
        </is>
      </c>
      <c r="G38" s="59" t="inlineStr">
        <is>
          <t>日中</t>
        </is>
      </c>
      <c r="H38" s="260" t="inlineStr">
        <is>
          <t>7732＊4</t>
        </is>
      </c>
      <c r="I38" s="119" t="n"/>
      <c r="J38" s="57" t="n">
        <v>22</v>
      </c>
      <c r="K38" s="72" t="n">
        <v>8500</v>
      </c>
      <c r="L38" s="61" t="n">
        <v>22</v>
      </c>
      <c r="M38" s="449" t="n"/>
      <c r="N38" s="449" t="n"/>
    </row>
    <row r="39" ht="40.5" customHeight="1" s="462">
      <c r="A39" s="423">
        <f>IF(B39="","",COUNTA($B$5:B39))</f>
        <v/>
      </c>
      <c r="B39" s="57" t="inlineStr">
        <is>
          <t>N摩耶</t>
        </is>
      </c>
      <c r="C39" s="63" t="inlineStr">
        <is>
          <t>ローリータンク200L・
トラックライムM・ガン</t>
        </is>
      </c>
      <c r="D39" s="441" t="inlineStr">
        <is>
          <t>尼崎（営）
アクトワンヤマイチ神戸
摩耶（営）</t>
        </is>
      </c>
      <c r="E39" s="441" t="inlineStr">
        <is>
          <t>第二神明
(名谷)</t>
        </is>
      </c>
      <c r="F39" s="57" t="inlineStr">
        <is>
          <t>前田道路</t>
        </is>
      </c>
      <c r="G39" s="65" t="inlineStr">
        <is>
          <t>日中</t>
        </is>
      </c>
      <c r="H39" s="260" t="inlineStr">
        <is>
          <t>7732＊5</t>
        </is>
      </c>
      <c r="I39" s="119" t="n"/>
      <c r="J39" s="57" t="n">
        <v>46</v>
      </c>
      <c r="K39" s="72" t="n">
        <v>13000</v>
      </c>
      <c r="L39" s="61" t="n">
        <v>46</v>
      </c>
      <c r="M39" s="449" t="n"/>
      <c r="N39" s="449" t="n"/>
    </row>
    <row r="40" ht="27" customHeight="1" s="462">
      <c r="A40" s="423">
        <f>IF(B40="","",COUNTA($B$5:B40))</f>
        <v/>
      </c>
      <c r="B40" s="57" t="n"/>
      <c r="C40" s="63" t="n"/>
      <c r="D40" s="441" t="n"/>
      <c r="E40" s="441" t="n"/>
      <c r="F40" s="57" t="n"/>
      <c r="G40" s="254" t="n"/>
      <c r="H40" s="438" t="n"/>
      <c r="I40" s="427" t="n"/>
      <c r="J40" s="57" t="n"/>
      <c r="K40" s="73" t="n"/>
      <c r="L40" s="61" t="n"/>
      <c r="M40" s="449" t="n"/>
      <c r="N40" s="449" t="n"/>
    </row>
    <row r="41" ht="27" customHeight="1" s="462">
      <c r="A41" s="445" t="n"/>
      <c r="B41" s="454" t="n"/>
      <c r="C41" s="455" t="n"/>
      <c r="D41" s="455" t="n"/>
      <c r="E41" s="455" t="n"/>
      <c r="F41" s="454" t="n"/>
      <c r="G41" s="446" t="n"/>
      <c r="H41" s="447" t="n"/>
      <c r="I41" s="447" t="n"/>
      <c r="J41" s="454" t="n"/>
      <c r="K41" s="448" t="n"/>
      <c r="L41" s="449" t="n"/>
      <c r="M41" s="449" t="n"/>
      <c r="N41" s="449" t="n"/>
    </row>
    <row r="42" ht="27" customHeight="1" s="462">
      <c r="A42" s="445" t="n"/>
      <c r="B42" s="449" t="n"/>
      <c r="C42" s="453" t="n"/>
      <c r="D42" s="453" t="n"/>
      <c r="E42" s="453" t="n"/>
      <c r="F42" s="449" t="n"/>
      <c r="G42" s="446" t="n"/>
      <c r="H42" s="451" t="n"/>
      <c r="I42" s="451" t="n"/>
      <c r="J42" s="449" t="n"/>
      <c r="K42" s="452" t="n"/>
      <c r="L42" s="449" t="n"/>
      <c r="M42" s="449" t="n"/>
      <c r="N42" s="449" t="n"/>
    </row>
    <row r="43" ht="27" customHeight="1" s="462">
      <c r="A43" s="445" t="n"/>
      <c r="B43" s="449" t="n"/>
      <c r="C43" s="453" t="n"/>
      <c r="D43" s="453" t="n"/>
      <c r="E43" s="453" t="n"/>
      <c r="F43" s="449" t="n"/>
      <c r="G43" s="446" t="n"/>
      <c r="H43" s="451" t="n"/>
      <c r="I43" s="451" t="n"/>
      <c r="J43" s="449" t="n"/>
      <c r="K43" s="452" t="n"/>
      <c r="L43" s="449" t="n"/>
      <c r="M43" s="449" t="n"/>
      <c r="N43" s="449" t="n"/>
    </row>
    <row r="44" ht="27" customHeight="1" s="462">
      <c r="A44" s="445" t="n"/>
      <c r="B44" s="456" t="n"/>
      <c r="C44" s="458" t="n"/>
      <c r="D44" s="458" t="n"/>
      <c r="E44" s="458" t="n"/>
      <c r="F44" s="450" t="n"/>
      <c r="G44" s="446" t="n"/>
      <c r="H44" s="451" t="n"/>
      <c r="I44" s="457" t="n"/>
      <c r="J44" s="456" t="n"/>
      <c r="K44" s="452" t="n"/>
      <c r="L44" s="449" t="n"/>
      <c r="M44" s="449" t="n"/>
      <c r="N44" s="449" t="n"/>
    </row>
    <row r="45" ht="14.25" customHeight="1" s="462" thickBot="1">
      <c r="B45" s="26" t="inlineStr">
        <is>
          <t>2(255)</t>
        </is>
      </c>
      <c r="C45" s="21" t="inlineStr">
        <is>
          <t>山岸</t>
        </is>
      </c>
      <c r="D45" s="34" t="n"/>
      <c r="E45" s="34" t="n"/>
      <c r="F45" s="466" t="n"/>
      <c r="H45" s="370" t="n"/>
      <c r="I45" s="494" t="n"/>
      <c r="J45" s="495" t="n"/>
      <c r="K45" s="378" t="n"/>
    </row>
    <row r="46">
      <c r="B46" s="26" t="inlineStr">
        <is>
          <t>8(254)</t>
        </is>
      </c>
      <c r="C46" s="21" t="inlineStr">
        <is>
          <t>砂川</t>
        </is>
      </c>
      <c r="D46" s="35" t="n"/>
      <c r="E46" s="35" t="n"/>
      <c r="F46" s="466" t="n"/>
      <c r="H46" s="368" t="inlineStr">
        <is>
          <t>残距離</t>
        </is>
      </c>
      <c r="J46" s="471" t="n"/>
      <c r="K46" s="354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 ht="14.25" customHeight="1" s="462" thickBot="1">
      <c r="B47" s="26" t="inlineStr">
        <is>
          <t>9(256)</t>
        </is>
      </c>
      <c r="C47" s="21" t="inlineStr">
        <is>
          <t>前川</t>
        </is>
      </c>
      <c r="D47" s="35" t="n"/>
      <c r="E47" s="35" t="n"/>
      <c r="F47" s="466" t="n"/>
      <c r="H47" s="468" t="n"/>
      <c r="I47" s="477" t="n"/>
      <c r="J47" s="469" t="n"/>
      <c r="K47" s="472" t="n"/>
    </row>
    <row r="48" ht="14.25" customHeight="1" s="462" thickBot="1">
      <c r="B48" s="26" t="inlineStr">
        <is>
          <t>10(257)</t>
        </is>
      </c>
      <c r="C48" s="35" t="n"/>
      <c r="D48" s="35" t="n"/>
      <c r="E48" s="35" t="n"/>
      <c r="F48" s="466" t="n"/>
      <c r="K48" s="2">
        <f t="array" ref="K48">IF(OR(H48="",L48=""),"",IFERROR(_xlfn.LET(_xlpm.vt,VLOOKUP(IFERROR(VALUE(LEFT(H48,FIND("＊",H48&amp;"＊")-1)),H48),運賃マスター!$A$22:$B$40,2,FALSE),_xlpm.d,L48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9">
      <c r="B49" s="26" t="inlineStr">
        <is>
          <t>11(258)</t>
        </is>
      </c>
      <c r="C49" s="21" t="inlineStr">
        <is>
          <t>郡司</t>
        </is>
      </c>
      <c r="D49" s="35" t="n"/>
      <c r="E49" s="35" t="n"/>
      <c r="F49" s="466" t="n"/>
      <c r="H49" s="350" t="inlineStr">
        <is>
          <t>依頼件数</t>
        </is>
      </c>
      <c r="I49" s="465" t="n"/>
      <c r="J49" s="467" t="n"/>
      <c r="K49" s="354">
        <f t="array" ref="K49">IF(OR(H49="",L49=""),"",IFERROR(_xlfn.LET(_xlpm.vt,VLOOKUP(IFERROR(VALUE(LEFT(H49,FIND("＊",H49&amp;"＊")-1)),H49),運賃マスター!$A$22:$B$40,2,FALSE),_xlpm.d,L49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50" ht="14.25" customHeight="1" s="462" thickBot="1">
      <c r="B50" s="26" t="inlineStr">
        <is>
          <t>12(736)</t>
        </is>
      </c>
      <c r="C50" s="21" t="n"/>
      <c r="D50" s="35" t="n"/>
      <c r="E50" s="35" t="n"/>
      <c r="F50" s="466" t="n"/>
      <c r="H50" s="468" t="n"/>
      <c r="I50" s="477" t="n"/>
      <c r="J50" s="469" t="n"/>
      <c r="K50" s="472" t="n"/>
    </row>
    <row r="51" ht="16.5" customHeight="1" s="462">
      <c r="B51" s="26" t="inlineStr">
        <is>
          <t>13(737)</t>
        </is>
      </c>
      <c r="C51" s="21" t="n"/>
      <c r="D51" s="35" t="n"/>
      <c r="E51" s="35" t="n"/>
      <c r="F51" s="466" t="n"/>
      <c r="H51" s="38" t="n"/>
      <c r="I51" s="38" t="n"/>
      <c r="J51" s="38" t="n"/>
      <c r="K51" s="39">
        <f t="array" ref="K51">IF(OR(H51="",L51=""),"",IFERROR(_xlfn.LET(_xlpm.vt,VLOOKUP(IFERROR(VALUE(LEFT(H51,FIND("＊",H51&amp;"＊")-1)),H51),運賃マスター!$A$22:$B$40,2,FALSE),_xlpm.d,L51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52" ht="16.5" customHeight="1" s="462">
      <c r="B52" s="40" t="inlineStr">
        <is>
          <t>14(738)</t>
        </is>
      </c>
      <c r="C52" s="21" t="inlineStr">
        <is>
          <t>辻井</t>
        </is>
      </c>
      <c r="D52" s="35" t="n"/>
      <c r="E52" s="35" t="n"/>
      <c r="F52" s="466" t="n"/>
      <c r="H52" s="38" t="n"/>
      <c r="I52" s="38" t="n"/>
      <c r="J52" s="38" t="n"/>
      <c r="K52" s="39">
        <f t="array" ref="K52">IF(OR(H52="",L52=""),"",IFERROR(_xlfn.LET(_xlpm.vt,VLOOKUP(IFERROR(VALUE(LEFT(H52,FIND("＊",H52&amp;"＊")-1)),H52),運賃マスター!$A$22:$B$40,2,FALSE),_xlpm.d,L52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53" ht="8.25" customHeight="1" s="462">
      <c r="B53" s="41" t="n"/>
      <c r="C53" s="42" t="n"/>
      <c r="D53" s="43" t="n"/>
      <c r="E53" s="44" t="n"/>
      <c r="F53" s="349" t="n"/>
      <c r="H53" s="38" t="n"/>
      <c r="I53" s="38" t="n"/>
      <c r="J53" s="38" t="n"/>
      <c r="K53" s="39" t="n"/>
    </row>
    <row r="54" ht="17.25" customHeight="1" s="462">
      <c r="B54" s="45" t="n">
        <v>7290</v>
      </c>
      <c r="C54" s="21" t="inlineStr">
        <is>
          <t>佐藤</t>
        </is>
      </c>
      <c r="D54" s="35" t="n"/>
      <c r="E54" s="348" t="n"/>
      <c r="F54" s="349" t="n"/>
      <c r="H54" s="38" t="n"/>
      <c r="I54" s="38" t="n"/>
      <c r="J54" s="38" t="n"/>
      <c r="K54" s="39" t="n"/>
    </row>
    <row r="55" ht="17.25" customHeight="1" s="462">
      <c r="B55" s="45" t="n">
        <v>7291</v>
      </c>
      <c r="C55" s="21" t="inlineStr">
        <is>
          <t>末次</t>
        </is>
      </c>
      <c r="D55" s="35" t="n"/>
      <c r="E55" s="348" t="n"/>
      <c r="F55" s="349" t="n"/>
      <c r="H55" s="38" t="n"/>
      <c r="I55" s="38" t="n"/>
      <c r="J55" s="38" t="n"/>
      <c r="K55" s="39" t="n"/>
    </row>
    <row r="56" ht="9" customHeight="1" s="462">
      <c r="B56" s="41" t="n"/>
      <c r="C56" s="42" t="n"/>
      <c r="D56" s="44" t="n"/>
      <c r="E56" s="44" t="n"/>
      <c r="F56" s="349" t="n"/>
      <c r="H56" s="38" t="n"/>
      <c r="I56" s="38" t="n"/>
      <c r="J56" s="38" t="n"/>
      <c r="K56" s="39" t="n"/>
    </row>
    <row r="57" ht="16.5" customHeight="1" s="462">
      <c r="B57" s="45" t="n">
        <v>333</v>
      </c>
      <c r="C57" s="21" t="inlineStr">
        <is>
          <t>金井/奥田</t>
        </is>
      </c>
      <c r="D57" s="35" t="n"/>
      <c r="E57" s="484" t="n"/>
      <c r="F57" s="469" t="n"/>
      <c r="H57" s="38" t="n"/>
      <c r="I57" s="38" t="n"/>
      <c r="J57" s="38" t="n"/>
      <c r="K57" s="39" t="n"/>
    </row>
    <row r="58" ht="16.5" customHeight="1" s="462">
      <c r="B58" s="46" t="n">
        <v>666</v>
      </c>
      <c r="C58" s="21" t="inlineStr">
        <is>
          <t>徳留</t>
        </is>
      </c>
      <c r="D58" s="35" t="n"/>
      <c r="E58" s="35" t="n"/>
      <c r="F58" s="466" t="n"/>
      <c r="H58" s="38" t="n"/>
      <c r="I58" s="38" t="n"/>
      <c r="J58" s="38" t="n"/>
      <c r="K58" s="39" t="n"/>
    </row>
    <row r="59" ht="16.5" customHeight="1" s="462">
      <c r="B59" s="46" t="n">
        <v>777</v>
      </c>
      <c r="C59" s="21" t="n"/>
      <c r="D59" s="35" t="n"/>
      <c r="E59" s="348" t="n"/>
      <c r="F59" s="349" t="n"/>
      <c r="H59" s="38" t="n"/>
      <c r="I59" s="38" t="n"/>
      <c r="J59" s="38" t="n"/>
      <c r="K59" s="39" t="n"/>
    </row>
    <row r="60" ht="16.5" customHeight="1" s="462">
      <c r="B60" s="47" t="n">
        <v>330</v>
      </c>
      <c r="C60" s="21" t="n"/>
      <c r="D60" s="35" t="n"/>
      <c r="E60" s="35" t="n"/>
      <c r="F60" s="466" t="n"/>
      <c r="H60" s="38" t="n"/>
      <c r="I60" s="38" t="n"/>
      <c r="J60" s="38" t="n"/>
      <c r="K60" s="39" t="n"/>
    </row>
    <row r="61" ht="16.5" customHeight="1" s="462">
      <c r="B61" s="47" t="n">
        <v>990</v>
      </c>
      <c r="C61" s="21" t="inlineStr">
        <is>
          <t>山原</t>
        </is>
      </c>
      <c r="D61" s="35" t="n"/>
      <c r="E61" s="35" t="n"/>
      <c r="F61" s="466" t="n"/>
      <c r="H61" s="38" t="n"/>
      <c r="I61" s="38" t="n"/>
      <c r="J61" s="38" t="n"/>
      <c r="K61" s="39" t="n"/>
    </row>
    <row r="62"/>
    <row r="63">
      <c r="C63" s="449" t="inlineStr">
        <is>
          <t>出発→到着</t>
        </is>
      </c>
      <c r="D63" s="420" t="inlineStr">
        <is>
          <t>備考</t>
        </is>
      </c>
    </row>
    <row r="64">
      <c r="B64" s="27" t="inlineStr">
        <is>
          <t>①</t>
        </is>
      </c>
      <c r="C64" s="449" t="inlineStr">
        <is>
          <t>東→西</t>
        </is>
      </c>
      <c r="D64" s="485" t="inlineStr">
        <is>
          <t>①Aチーム優先</t>
        </is>
      </c>
      <c r="E64" s="486" t="n"/>
      <c r="F64" s="486" t="n"/>
      <c r="G64" s="486" t="n"/>
      <c r="H64" s="486" t="n"/>
      <c r="I64" s="486" t="n"/>
      <c r="J64" s="466" t="n"/>
    </row>
    <row r="65">
      <c r="B65" s="27" t="inlineStr">
        <is>
          <t>②</t>
        </is>
      </c>
      <c r="C65" s="449" t="inlineStr">
        <is>
          <t>東→東</t>
        </is>
      </c>
      <c r="D65" s="485" t="inlineStr">
        <is>
          <t>②急ぎ案件の場合、道路状況も伝えてあげる。</t>
        </is>
      </c>
      <c r="E65" s="486" t="n"/>
      <c r="F65" s="486" t="n"/>
      <c r="G65" s="486" t="n"/>
      <c r="H65" s="486" t="n"/>
      <c r="I65" s="486" t="n"/>
      <c r="J65" s="466" t="n"/>
    </row>
    <row r="66">
      <c r="B66" s="27" t="inlineStr">
        <is>
          <t>③</t>
        </is>
      </c>
      <c r="C66" s="449" t="inlineStr">
        <is>
          <t>西→東</t>
        </is>
      </c>
      <c r="D66" s="485" t="inlineStr">
        <is>
          <t>③各ドライバーの位置からの帰社のタイミング・夕方の配置</t>
        </is>
      </c>
      <c r="E66" s="486" t="n"/>
      <c r="F66" s="486" t="n"/>
      <c r="G66" s="486" t="n"/>
      <c r="H66" s="486" t="n"/>
      <c r="I66" s="486" t="n"/>
      <c r="J66" s="466" t="n"/>
    </row>
    <row r="67">
      <c r="B67" s="27" t="inlineStr">
        <is>
          <t>④</t>
        </is>
      </c>
      <c r="C67" s="449" t="inlineStr">
        <is>
          <t>西→西</t>
        </is>
      </c>
      <c r="D67" s="485" t="inlineStr">
        <is>
          <t>④依頼を受ける際の、希望時間と現状の位置。行けるか行けないかの判断をしっかりと。</t>
        </is>
      </c>
      <c r="E67" s="486" t="n"/>
      <c r="F67" s="486" t="n"/>
      <c r="G67" s="486" t="n"/>
      <c r="H67" s="486" t="n"/>
      <c r="I67" s="486" t="n"/>
      <c r="J67" s="466" t="n"/>
    </row>
    <row r="68">
      <c r="D68" s="485" t="inlineStr">
        <is>
          <t>⑤軽に乗るか乗らないかの判断に気を付ける。</t>
        </is>
      </c>
      <c r="E68" s="486" t="n"/>
      <c r="F68" s="486" t="n"/>
      <c r="G68" s="486" t="n"/>
      <c r="H68" s="486" t="n"/>
      <c r="I68" s="486" t="n"/>
      <c r="J68" s="466" t="n"/>
    </row>
    <row r="69">
      <c r="B69" s="22" t="n"/>
      <c r="C69" s="420" t="inlineStr">
        <is>
          <t>現状配置(予測)</t>
        </is>
      </c>
      <c r="D69" s="485" t="inlineStr">
        <is>
          <t>⑥18/1日、1.8/1人、3件/1人</t>
        </is>
      </c>
      <c r="E69" s="486" t="n"/>
      <c r="F69" s="486" t="n"/>
      <c r="G69" s="486" t="n"/>
      <c r="H69" s="486" t="n"/>
      <c r="I69" s="486" t="n"/>
      <c r="J69" s="466" t="n"/>
    </row>
    <row r="70">
      <c r="B70" s="420" t="inlineStr">
        <is>
          <t>西(神戸西・弥栄台)</t>
        </is>
      </c>
      <c r="C70" s="420" t="n"/>
      <c r="D70" s="485" t="inlineStr">
        <is>
          <t>⑦依頼書の見落とし(日付、入替、入出庫、場所）</t>
        </is>
      </c>
      <c r="E70" s="486" t="n"/>
      <c r="F70" s="486" t="n"/>
      <c r="G70" s="486" t="n"/>
      <c r="H70" s="486" t="n"/>
      <c r="I70" s="486" t="n"/>
      <c r="J70" s="466" t="n"/>
    </row>
    <row r="71">
      <c r="B71" s="420" t="inlineStr">
        <is>
          <t>真ん中(摩耶・中央)</t>
        </is>
      </c>
      <c r="C71" s="420" t="n"/>
      <c r="D71" s="485" t="inlineStr">
        <is>
          <t>⑧3ｔ車と2ｔ車への振り方(西と東に振り分ける)</t>
        </is>
      </c>
      <c r="E71" s="486" t="n"/>
      <c r="F71" s="486" t="n"/>
      <c r="G71" s="486" t="n"/>
      <c r="H71" s="486" t="n"/>
      <c r="I71" s="486" t="n"/>
      <c r="J71" s="466" t="n"/>
    </row>
    <row r="72">
      <c r="B72" s="420" t="inlineStr">
        <is>
          <t>東(尼崎・伊丹・西宮)</t>
        </is>
      </c>
      <c r="C72" s="420" t="n"/>
      <c r="D72" s="485" t="inlineStr">
        <is>
          <t>⑨</t>
        </is>
      </c>
      <c r="E72" s="486" t="n"/>
      <c r="F72" s="486" t="n"/>
      <c r="G72" s="486" t="n"/>
      <c r="H72" s="486" t="n"/>
      <c r="I72" s="486" t="n"/>
      <c r="J72" s="466" t="n"/>
    </row>
    <row r="73">
      <c r="B73" s="48" t="inlineStr">
        <is>
          <t>極東(港区・淀屋橋)</t>
        </is>
      </c>
      <c r="C73" s="420" t="n"/>
      <c r="D73" s="49" t="n"/>
      <c r="E73" s="49" t="n"/>
      <c r="F73" s="49" t="n"/>
      <c r="G73" s="49" t="n"/>
      <c r="H73" s="49" t="n"/>
      <c r="I73" s="49" t="n"/>
      <c r="J73" s="49" t="n"/>
    </row>
    <row r="74" ht="14.25" customHeight="1" s="462" thickBot="1"/>
    <row r="75">
      <c r="C75" s="473" t="inlineStr">
        <is>
          <t>合計額/380</t>
        </is>
      </c>
      <c r="D75" s="358">
        <f>SUM(G75)</f>
        <v/>
      </c>
      <c r="F75" s="360" t="inlineStr">
        <is>
          <t>売り上げ額</t>
        </is>
      </c>
      <c r="G75" s="362">
        <f>SUM(SUM(K4:K40))+SUM(#REF!)</f>
        <v/>
      </c>
      <c r="H75" s="465" t="n"/>
      <c r="I75" s="465" t="n"/>
      <c r="J75" s="467" t="n"/>
    </row>
    <row r="76" ht="14.25" customHeight="1" s="462" thickBot="1">
      <c r="C76" s="474" t="n"/>
      <c r="D76" s="475" t="n"/>
      <c r="F76" s="468" t="n"/>
      <c r="G76" s="476" t="n"/>
      <c r="H76" s="477" t="n"/>
      <c r="I76" s="477" t="n"/>
      <c r="J76" s="469" t="n"/>
    </row>
    <row r="77">
      <c r="C77" s="478" t="inlineStr">
        <is>
          <t>前日までの売上合計額</t>
        </is>
      </c>
      <c r="D77" s="479">
        <f>SUM(B86)</f>
        <v/>
      </c>
    </row>
    <row r="78" ht="14.25" customHeight="1" s="462" thickBot="1">
      <c r="C78" s="480" t="n"/>
      <c r="D78" s="480" t="n"/>
      <c r="F78" s="420" t="inlineStr">
        <is>
          <t>金井（55)</t>
        </is>
      </c>
      <c r="G78" s="345" t="n"/>
      <c r="H78" s="466" t="n"/>
      <c r="I78" s="130" t="n"/>
    </row>
    <row r="79" ht="14.25" customHeight="1" s="462" thickTop="1">
      <c r="D79" s="346">
        <f>D75+D77</f>
        <v/>
      </c>
      <c r="F79" s="420" t="inlineStr">
        <is>
          <t>粟津(55)</t>
        </is>
      </c>
      <c r="G79" s="340" t="n"/>
      <c r="H79" s="466" t="n"/>
      <c r="I79" s="131" t="n"/>
    </row>
    <row r="80">
      <c r="F80" s="420" t="inlineStr">
        <is>
          <t>砂川(50)</t>
        </is>
      </c>
      <c r="G80" s="340" t="n"/>
      <c r="H80" s="466" t="n"/>
      <c r="I80" s="131" t="n"/>
    </row>
    <row r="81">
      <c r="C81" s="2" t="inlineStr">
        <is>
          <t>高代</t>
        </is>
      </c>
      <c r="F81" s="420" t="inlineStr">
        <is>
          <t>前川(50)</t>
        </is>
      </c>
      <c r="G81" s="340" t="n"/>
      <c r="H81" s="466" t="n"/>
      <c r="I81" s="131" t="n"/>
    </row>
    <row r="82">
      <c r="C82" s="2" t="inlineStr">
        <is>
          <t>返還代</t>
        </is>
      </c>
      <c r="F82" s="420" t="inlineStr">
        <is>
          <t>佐藤(50)</t>
        </is>
      </c>
      <c r="G82" s="345" t="n"/>
      <c r="H82" s="466" t="n"/>
      <c r="I82" s="130" t="n"/>
    </row>
    <row r="83">
      <c r="C83" s="2" t="inlineStr">
        <is>
          <t>回収率</t>
        </is>
      </c>
      <c r="D83" s="50">
        <f>D82/D81</f>
        <v/>
      </c>
      <c r="F83" s="420" t="inlineStr">
        <is>
          <t>末次(55)</t>
        </is>
      </c>
      <c r="G83" s="340" t="n"/>
      <c r="H83" s="466" t="n"/>
      <c r="I83" s="131" t="n"/>
    </row>
    <row r="84">
      <c r="C84" s="2" t="inlineStr">
        <is>
          <t>費</t>
        </is>
      </c>
      <c r="D84" s="2">
        <f>D81-D82</f>
        <v/>
      </c>
      <c r="F84" s="420" t="inlineStr">
        <is>
          <t>筒井(75)</t>
        </is>
      </c>
      <c r="G84" s="340" t="n"/>
      <c r="H84" s="466" t="n"/>
      <c r="I84" s="131" t="n"/>
    </row>
    <row r="85">
      <c r="F85" s="420" t="inlineStr">
        <is>
          <t>山岸(40)</t>
        </is>
      </c>
      <c r="G85" s="340" t="n"/>
      <c r="H85" s="466" t="n"/>
      <c r="I85" s="131" t="n"/>
    </row>
    <row r="86" ht="23.25" customHeight="1" s="462">
      <c r="B86" s="71" t="n"/>
      <c r="F86" s="420" t="inlineStr">
        <is>
          <t>多苗(30)</t>
        </is>
      </c>
      <c r="G86" s="340" t="n"/>
      <c r="H86" s="466" t="n"/>
      <c r="I86" s="131" t="n"/>
      <c r="L86" s="2" t="inlineStr">
        <is>
          <t> </t>
        </is>
      </c>
    </row>
  </sheetData>
  <autoFilter ref="H2:H88"/>
  <mergeCells count="52">
    <mergeCell ref="D71:J71"/>
    <mergeCell ref="E50:F50"/>
    <mergeCell ref="G81:H81"/>
    <mergeCell ref="G86:H86"/>
    <mergeCell ref="D68:J68"/>
    <mergeCell ref="D77:D78"/>
    <mergeCell ref="M5:N5"/>
    <mergeCell ref="E52:F52"/>
    <mergeCell ref="D64:J64"/>
    <mergeCell ref="E48:F48"/>
    <mergeCell ref="D67:J67"/>
    <mergeCell ref="H45:J45"/>
    <mergeCell ref="G82:H82"/>
    <mergeCell ref="E51:F51"/>
    <mergeCell ref="B2:C2"/>
    <mergeCell ref="C75:C76"/>
    <mergeCell ref="D75:D76"/>
    <mergeCell ref="F75:F76"/>
    <mergeCell ref="D69:J69"/>
    <mergeCell ref="K46:K47"/>
    <mergeCell ref="E60:F60"/>
    <mergeCell ref="M22:N22"/>
    <mergeCell ref="G78:H78"/>
    <mergeCell ref="E47:F47"/>
    <mergeCell ref="M30:N30"/>
    <mergeCell ref="M25:N25"/>
    <mergeCell ref="G83:H83"/>
    <mergeCell ref="M15:N15"/>
    <mergeCell ref="H49:J50"/>
    <mergeCell ref="E46:F46"/>
    <mergeCell ref="D65:J65"/>
    <mergeCell ref="E49:F49"/>
    <mergeCell ref="G80:H80"/>
    <mergeCell ref="E45:F45"/>
    <mergeCell ref="M33:N33"/>
    <mergeCell ref="M3:N3"/>
    <mergeCell ref="H46:J47"/>
    <mergeCell ref="E61:F61"/>
    <mergeCell ref="G79:H79"/>
    <mergeCell ref="E57:F57"/>
    <mergeCell ref="G75:J76"/>
    <mergeCell ref="D79:D80"/>
    <mergeCell ref="D70:J70"/>
    <mergeCell ref="D66:J66"/>
    <mergeCell ref="G85:H85"/>
    <mergeCell ref="C77:C78"/>
    <mergeCell ref="M19:N19"/>
    <mergeCell ref="G84:H84"/>
    <mergeCell ref="D72:J72"/>
    <mergeCell ref="E58:F58"/>
    <mergeCell ref="M4:N4"/>
    <mergeCell ref="K49:K50"/>
  </mergeCells>
  <conditionalFormatting sqref="K46:K47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44">
    <cfRule type="cellIs" priority="1" operator="greaterThan" dxfId="0">
      <formula>30</formula>
    </cfRule>
  </conditionalFormatting>
  <conditionalFormatting sqref="D5:D49">
    <cfRule type="containsText" priority="6" operator="containsText" dxfId="3" text="～">
      <formula>NOT(ISERROR(SEARCH("～",D5)))</formula>
    </cfRule>
  </conditionalFormatting>
  <conditionalFormatting sqref="G5:G86">
    <cfRule type="containsText" priority="7" operator="containsText" dxfId="1" text="宵">
      <formula>NOT(ISERROR(SEARCH("宵",G5)))</formula>
    </cfRule>
  </conditionalFormatting>
  <pageMargins left="0.7" right="0.7" top="0.75" bottom="0.75" header="0.3" footer="0.3"/>
  <pageSetup orientation="landscape" paperSize="9" scale="50" horizontalDpi="1200" verticalDpi="1200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R73"/>
  <sheetViews>
    <sheetView zoomScaleNormal="100" workbookViewId="0">
      <selection activeCell="E16" sqref="E16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1"/>
    <col outlineLevel="1" width="20.25" customWidth="1" style="77" min="12" max="12"/>
    <col width="8.75" customWidth="1" style="449" min="13" max="14"/>
    <col width="8.75" customWidth="1" style="2" min="15" max="16384"/>
  </cols>
  <sheetData>
    <row r="1"/>
    <row r="2" ht="15" customHeight="1" s="462" thickBot="1">
      <c r="B2" s="493" t="n">
        <v>46188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441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O5" s="449" t="n"/>
      <c r="P5" s="449" t="n"/>
      <c r="Q5" s="449" t="n"/>
    </row>
    <row r="6" ht="27" customHeight="1" s="462">
      <c r="A6" s="423" t="n"/>
      <c r="B6" s="57" t="n"/>
      <c r="C6" s="63" t="n"/>
      <c r="D6" s="441" t="n"/>
      <c r="E6" s="441" t="n"/>
      <c r="F6" s="57" t="n"/>
      <c r="G6" s="441" t="n"/>
      <c r="H6" s="74" t="n"/>
      <c r="I6" s="299">
        <f>IFERROR(_xlfn.XLOOKUP(H6,案件・ドライバー一覧!$L$3:$L$17,案件・ドライバー一覧!$M$3:$M$17,""),"")</f>
        <v/>
      </c>
      <c r="J6" s="57" t="n"/>
      <c r="K6" s="72" t="n"/>
      <c r="L6" s="61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441" t="n"/>
      <c r="C7" s="63" t="n"/>
      <c r="D7" s="440" t="n"/>
      <c r="E7" s="64" t="n"/>
      <c r="F7" s="57" t="n"/>
      <c r="G7" s="59" t="n"/>
      <c r="H7" s="74" t="n"/>
      <c r="I7" s="299" t="n"/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O7" s="449" t="n"/>
      <c r="P7" s="449" t="n"/>
      <c r="Q7" s="449" t="n"/>
      <c r="R7" s="449" t="n"/>
    </row>
    <row r="8" ht="36.75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299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O8" s="449" t="n"/>
      <c r="P8" s="449" t="n"/>
      <c r="Q8" s="449" t="n"/>
      <c r="R8" s="449" t="n"/>
    </row>
    <row r="9" ht="27" customHeight="1" s="462">
      <c r="A9" s="423">
        <f>IF(B9="","",COUNTA($B$5:B13))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438" t="n"/>
      <c r="I10" s="437" t="n"/>
      <c r="J10" s="57" t="n"/>
      <c r="K10" s="72" t="n"/>
      <c r="L10" s="61" t="n"/>
      <c r="O10" s="449" t="n"/>
      <c r="P10" s="449" t="n"/>
      <c r="Q10" s="449" t="n"/>
      <c r="R10" s="449" t="n"/>
    </row>
    <row r="11" ht="16.5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441" t="n"/>
      <c r="C13" s="63" t="n"/>
      <c r="D13" s="441" t="n"/>
      <c r="E13" s="441" t="n"/>
      <c r="F13" s="57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O13" s="449" t="n"/>
      <c r="P13" s="449" t="n"/>
      <c r="Q13" s="449" t="n"/>
      <c r="R13" s="449" t="n"/>
    </row>
    <row r="14" ht="15.75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64" t="n"/>
      <c r="E16" s="420" t="n"/>
      <c r="F16" s="57" t="n"/>
      <c r="G16" s="66" t="n"/>
      <c r="H16" s="74" t="n"/>
      <c r="I16" s="74" t="n"/>
      <c r="J16" s="420" t="n"/>
      <c r="K16" s="73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O16" s="449" t="n"/>
      <c r="P16" s="449" t="n"/>
      <c r="Q16" s="449" t="n"/>
    </row>
    <row r="17" ht="27" customHeight="1" s="462">
      <c r="A17" s="423">
        <f>IF(B17="","",COUNTA($B$5:B17))</f>
        <v/>
      </c>
      <c r="B17" s="441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O17" s="449" t="n"/>
      <c r="P17" s="449" t="n"/>
      <c r="Q17" s="449" t="n"/>
    </row>
    <row r="18" ht="15.75" customHeight="1" s="462">
      <c r="A18" s="423">
        <f>IF(B18="","",COUNTA($B$5:B18))</f>
        <v/>
      </c>
      <c r="B18" s="441" t="n"/>
      <c r="C18" s="440" t="n"/>
      <c r="D18" s="441" t="n"/>
      <c r="E18" s="440" t="n"/>
      <c r="F18" s="57" t="n"/>
      <c r="G18" s="65" t="n"/>
      <c r="H18" s="74" t="n"/>
      <c r="I18" s="74" t="n"/>
      <c r="J18" s="420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O18" s="449" t="n"/>
      <c r="P18" s="449" t="n"/>
      <c r="Q18" s="449" t="n"/>
    </row>
    <row r="19" ht="27" customHeight="1" s="462">
      <c r="A19" s="423">
        <f>IF(B19="","",COUNTA($B$5:B19))</f>
        <v/>
      </c>
      <c r="B19" s="441" t="n"/>
      <c r="C19" s="63" t="n"/>
      <c r="D19" s="440" t="n"/>
      <c r="E19" s="441" t="n"/>
      <c r="F19" s="57" t="n"/>
      <c r="G19" s="59" t="n"/>
      <c r="H19" s="60" t="n"/>
      <c r="I19" s="60" t="n"/>
      <c r="J19" s="57" t="n"/>
      <c r="K19" s="73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O19" s="449" t="n"/>
      <c r="P19" s="449" t="n"/>
      <c r="Q19" s="449" t="n"/>
    </row>
    <row r="20" ht="27" customHeight="1" s="462">
      <c r="A20" s="423">
        <f>IF(B20="","",COUNTA($B$5:B20))</f>
        <v/>
      </c>
      <c r="B20" s="441" t="n"/>
      <c r="C20" s="63" t="n"/>
      <c r="D20" s="441" t="n"/>
      <c r="E20" s="441" t="n"/>
      <c r="F20" s="57" t="n"/>
      <c r="G20" s="65" t="n"/>
      <c r="H20" s="60" t="n"/>
      <c r="I20" s="6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O20" s="449" t="n"/>
      <c r="P20" s="449" t="n"/>
      <c r="Q20" s="449" t="n"/>
      <c r="R20" s="449" t="n"/>
    </row>
    <row r="21" ht="27" customHeight="1" s="462">
      <c r="A21" s="423" t="n"/>
      <c r="B21" s="441" t="n"/>
      <c r="C21" s="63" t="n"/>
      <c r="D21" s="441" t="n"/>
      <c r="E21" s="441" t="n"/>
      <c r="F21" s="57" t="n"/>
      <c r="G21" s="65" t="n"/>
      <c r="H21" s="60" t="n"/>
      <c r="I21" s="60" t="n"/>
      <c r="J21" s="57" t="n"/>
      <c r="K21" s="73" t="n"/>
      <c r="L21" s="61" t="n"/>
      <c r="O21" s="449" t="n"/>
      <c r="P21" s="449" t="n"/>
      <c r="Q21" s="449" t="n"/>
      <c r="R21" s="449" t="n"/>
    </row>
    <row r="22" ht="27" customHeight="1" s="462">
      <c r="A22" s="423" t="n"/>
      <c r="B22" s="441" t="n"/>
      <c r="C22" s="63" t="n"/>
      <c r="D22" s="441" t="n"/>
      <c r="E22" s="441" t="n"/>
      <c r="F22" s="57" t="n"/>
      <c r="G22" s="65" t="n"/>
      <c r="H22" s="60" t="n"/>
      <c r="I22" s="60" t="n"/>
      <c r="J22" s="57" t="n"/>
      <c r="K22" s="73" t="n"/>
      <c r="L22" s="61" t="n"/>
      <c r="O22" s="449" t="n"/>
      <c r="P22" s="449" t="n"/>
      <c r="Q22" s="449" t="n"/>
      <c r="R22" s="449" t="n"/>
    </row>
    <row r="23" ht="27" customHeight="1" s="462">
      <c r="A23" s="423" t="n"/>
      <c r="B23" s="441" t="n"/>
      <c r="C23" s="63" t="n"/>
      <c r="D23" s="441" t="n"/>
      <c r="E23" s="441" t="n"/>
      <c r="F23" s="57" t="n"/>
      <c r="G23" s="65" t="n"/>
      <c r="H23" s="60" t="n"/>
      <c r="I23" s="60" t="n"/>
      <c r="J23" s="57" t="n"/>
      <c r="K23" s="73" t="n"/>
      <c r="L23" s="61" t="n"/>
      <c r="O23" s="449" t="n"/>
      <c r="P23" s="449" t="n"/>
      <c r="Q23" s="449" t="n"/>
      <c r="R23" s="449" t="n"/>
    </row>
    <row r="24" ht="27" customHeight="1" s="462">
      <c r="A24" s="423" t="n"/>
      <c r="B24" s="441" t="n"/>
      <c r="C24" s="63" t="n"/>
      <c r="D24" s="441" t="n"/>
      <c r="E24" s="441" t="n"/>
      <c r="F24" s="57" t="n"/>
      <c r="G24" s="65" t="n"/>
      <c r="H24" s="60" t="n"/>
      <c r="I24" s="60" t="n"/>
      <c r="J24" s="57" t="n"/>
      <c r="K24" s="73" t="n"/>
      <c r="L24" s="61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O25" s="449" t="n"/>
      <c r="P25" s="449" t="n"/>
      <c r="Q25" s="449" t="n"/>
      <c r="R25" s="449" t="n"/>
    </row>
    <row r="26" ht="27.75" customHeight="1" s="462">
      <c r="A26" s="423">
        <f>IF(B26="","",COUNTA($B$5:B26))</f>
        <v/>
      </c>
      <c r="B26" s="420" t="n"/>
      <c r="C26" s="420" t="n"/>
      <c r="D26" s="420" t="n"/>
      <c r="E26" s="420" t="n"/>
      <c r="F26" s="420" t="n"/>
      <c r="G26" s="69" t="n"/>
      <c r="H26" s="70" t="n"/>
      <c r="I26" s="70" t="n"/>
      <c r="J26" s="420" t="n"/>
      <c r="K26" s="2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O26" s="449" t="n"/>
      <c r="P26" s="449" t="n"/>
      <c r="Q26" s="449" t="n"/>
    </row>
    <row r="27" ht="27" customHeight="1" s="462">
      <c r="B27" s="18" t="n"/>
      <c r="C27" s="18" t="n"/>
      <c r="D27" s="18" t="n"/>
      <c r="E27" s="18" t="n"/>
      <c r="F27" s="18" t="n"/>
      <c r="G27" s="19" t="n"/>
      <c r="H27" s="33" t="n"/>
      <c r="I27" s="18" t="n"/>
      <c r="J27" s="18" t="n"/>
      <c r="K27" s="18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2" t="n"/>
      <c r="M27" s="2" t="n"/>
      <c r="N27" s="2" t="n"/>
    </row>
    <row r="28" ht="27" customHeight="1" s="462" thickBot="1">
      <c r="K28" s="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2" t="n"/>
      <c r="M28" s="2" t="n"/>
      <c r="N28" s="2" t="n"/>
    </row>
    <row r="29" ht="27" customHeight="1" s="462">
      <c r="B29" s="22" t="n"/>
      <c r="C29" s="25" t="n"/>
      <c r="D29" s="25" t="inlineStr">
        <is>
          <t>現在待機場所</t>
        </is>
      </c>
      <c r="E29" s="25" t="inlineStr">
        <is>
          <t>待機予定場所</t>
        </is>
      </c>
      <c r="F29" s="466" t="n"/>
      <c r="H29" s="375" t="inlineStr">
        <is>
          <t>目標距離</t>
        </is>
      </c>
      <c r="I29" s="465" t="n"/>
      <c r="J29" s="467" t="n"/>
      <c r="K29" s="377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2" t="n"/>
      <c r="M29" s="2" t="n"/>
      <c r="N29" s="2" t="n"/>
    </row>
    <row r="30" ht="27" customHeight="1" s="462" thickBot="1">
      <c r="B30" s="26" t="inlineStr">
        <is>
          <t>2(255)</t>
        </is>
      </c>
      <c r="C30" s="21" t="inlineStr">
        <is>
          <t>山岸</t>
        </is>
      </c>
      <c r="D30" s="34" t="n"/>
      <c r="E30" s="34" t="n"/>
      <c r="F30" s="466" t="n"/>
      <c r="H30" s="468" t="n"/>
      <c r="I30" s="477" t="n"/>
      <c r="J30" s="469" t="n"/>
      <c r="K30" s="470" t="n"/>
      <c r="L30" s="2" t="n"/>
      <c r="M30" s="2" t="n"/>
      <c r="N30" s="2" t="n"/>
    </row>
    <row r="31">
      <c r="B31" s="26" t="inlineStr">
        <is>
          <t>8(254)</t>
        </is>
      </c>
      <c r="C31" s="21" t="inlineStr">
        <is>
          <t>砂川</t>
        </is>
      </c>
      <c r="D31" s="35" t="n"/>
      <c r="E31" s="35" t="n"/>
      <c r="F31" s="466" t="n"/>
      <c r="H31" s="368" t="inlineStr">
        <is>
          <t>残距離</t>
        </is>
      </c>
      <c r="J31" s="471" t="n"/>
      <c r="K31" s="354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2" t="n"/>
      <c r="M31" s="2" t="n"/>
      <c r="N31" s="2" t="n"/>
    </row>
    <row r="32" ht="14.25" customHeight="1" s="462" thickBot="1">
      <c r="B32" s="26" t="inlineStr">
        <is>
          <t>9(256)</t>
        </is>
      </c>
      <c r="C32" s="21" t="inlineStr">
        <is>
          <t>前川</t>
        </is>
      </c>
      <c r="D32" s="35" t="n"/>
      <c r="E32" s="35" t="n"/>
      <c r="F32" s="466" t="n"/>
      <c r="H32" s="468" t="n"/>
      <c r="I32" s="477" t="n"/>
      <c r="J32" s="469" t="n"/>
      <c r="K32" s="472" t="n"/>
      <c r="L32" s="2" t="n"/>
      <c r="M32" s="2" t="n"/>
      <c r="N32" s="2" t="n"/>
    </row>
    <row r="33" ht="14.25" customHeight="1" s="462" thickBot="1">
      <c r="B33" s="26" t="inlineStr">
        <is>
          <t>10(257)</t>
        </is>
      </c>
      <c r="C33" s="35" t="n"/>
      <c r="D33" s="35" t="n"/>
      <c r="E33" s="35" t="n"/>
      <c r="F33" s="466" t="n"/>
      <c r="K33" s="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2" t="n"/>
      <c r="M33" s="2" t="n"/>
      <c r="N33" s="2" t="n"/>
    </row>
    <row r="34">
      <c r="B34" s="26" t="inlineStr">
        <is>
          <t>11(258)</t>
        </is>
      </c>
      <c r="C34" s="21" t="inlineStr">
        <is>
          <t>郡司</t>
        </is>
      </c>
      <c r="D34" s="35" t="n"/>
      <c r="E34" s="35" t="n"/>
      <c r="F34" s="466" t="n"/>
      <c r="H34" s="350" t="inlineStr">
        <is>
          <t>依頼件数</t>
        </is>
      </c>
      <c r="I34" s="465" t="n"/>
      <c r="J34" s="467" t="n"/>
      <c r="K34" s="354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2" t="n"/>
      <c r="M34" s="2" t="n"/>
      <c r="N34" s="2" t="n"/>
    </row>
    <row r="35" ht="14.25" customHeight="1" s="462" thickBot="1">
      <c r="B35" s="26" t="inlineStr">
        <is>
          <t>12(736)</t>
        </is>
      </c>
      <c r="C35" s="21" t="n"/>
      <c r="D35" s="35" t="n"/>
      <c r="E35" s="35" t="n"/>
      <c r="F35" s="466" t="n"/>
      <c r="H35" s="468" t="n"/>
      <c r="I35" s="477" t="n"/>
      <c r="J35" s="469" t="n"/>
      <c r="K35" s="472" t="n"/>
      <c r="L35" s="2" t="n"/>
      <c r="M35" s="2" t="n"/>
      <c r="N35" s="2" t="n"/>
    </row>
    <row r="36" ht="17.25" customHeight="1" s="462">
      <c r="B36" s="26" t="inlineStr">
        <is>
          <t>13(737)</t>
        </is>
      </c>
      <c r="C36" s="21" t="n"/>
      <c r="D36" s="35" t="n"/>
      <c r="E36" s="35" t="n"/>
      <c r="F36" s="466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2" t="n"/>
      <c r="M36" s="2" t="n"/>
      <c r="N36" s="2" t="n"/>
    </row>
    <row r="37" ht="17.25" customHeight="1" s="462">
      <c r="B37" s="40" t="inlineStr">
        <is>
          <t>14(738)</t>
        </is>
      </c>
      <c r="C37" s="21" t="inlineStr">
        <is>
          <t>辻井</t>
        </is>
      </c>
      <c r="D37" s="35" t="n"/>
      <c r="E37" s="35" t="n"/>
      <c r="F37" s="466" t="n"/>
      <c r="H37" s="38" t="n"/>
      <c r="I37" s="38" t="n"/>
      <c r="J37" s="38" t="n"/>
      <c r="K37" s="39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2" t="n"/>
      <c r="M37" s="2" t="n"/>
      <c r="N37" s="2" t="n"/>
    </row>
    <row r="38" ht="17.25" customHeight="1" s="462">
      <c r="B38" s="41" t="n"/>
      <c r="C38" s="42" t="n"/>
      <c r="D38" s="43" t="n"/>
      <c r="E38" s="44" t="n"/>
      <c r="F38" s="349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2" t="n"/>
      <c r="M38" s="2" t="n"/>
      <c r="N38" s="2" t="n"/>
    </row>
    <row r="39" ht="17.25" customHeight="1" s="462">
      <c r="B39" s="45" t="n">
        <v>7290</v>
      </c>
      <c r="C39" s="21" t="inlineStr">
        <is>
          <t>佐藤</t>
        </is>
      </c>
      <c r="D39" s="35" t="n"/>
      <c r="E39" s="348" t="n"/>
      <c r="F39" s="349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2" t="n"/>
      <c r="M39" s="2" t="n"/>
      <c r="N39" s="2" t="n"/>
    </row>
    <row r="40" ht="16.5" customHeight="1" s="462">
      <c r="B40" s="45" t="n">
        <v>7291</v>
      </c>
      <c r="C40" s="21" t="inlineStr">
        <is>
          <t>末次</t>
        </is>
      </c>
      <c r="D40" s="35" t="n"/>
      <c r="E40" s="348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2" t="n"/>
      <c r="M40" s="2" t="n"/>
      <c r="N40" s="2" t="n"/>
    </row>
    <row r="41" ht="16.5" customHeight="1" s="462">
      <c r="B41" s="41" t="n"/>
      <c r="C41" s="42" t="n"/>
      <c r="D41" s="44" t="n"/>
      <c r="E41" s="44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2" t="n"/>
      <c r="M41" s="2" t="n"/>
      <c r="N41" s="2" t="n"/>
    </row>
    <row r="42" ht="8.25" customHeight="1" s="462">
      <c r="B42" s="45" t="n">
        <v>333</v>
      </c>
      <c r="C42" s="21" t="inlineStr">
        <is>
          <t>金井/奥田</t>
        </is>
      </c>
      <c r="D42" s="35" t="n"/>
      <c r="E42" s="484" t="n"/>
      <c r="F42" s="46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2" t="n"/>
      <c r="M42" s="2" t="n"/>
      <c r="N42" s="2" t="n"/>
    </row>
    <row r="43" ht="17.25" customHeight="1" s="462">
      <c r="B43" s="46" t="n">
        <v>666</v>
      </c>
      <c r="C43" s="21" t="inlineStr">
        <is>
          <t>徳留</t>
        </is>
      </c>
      <c r="D43" s="35" t="n"/>
      <c r="E43" s="35" t="n"/>
      <c r="F43" s="466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2" t="n"/>
      <c r="M43" s="2" t="n"/>
      <c r="N43" s="2" t="n"/>
    </row>
    <row r="44" ht="17.25" customHeight="1" s="462">
      <c r="B44" s="46" t="n">
        <v>777</v>
      </c>
      <c r="C44" s="21" t="n"/>
      <c r="D44" s="35" t="n"/>
      <c r="E44" s="348" t="n"/>
      <c r="F44" s="34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  <c r="M44" s="2" t="n"/>
      <c r="N44" s="2" t="n"/>
    </row>
    <row r="45" ht="9" customHeight="1" s="462">
      <c r="B45" s="47" t="n">
        <v>330</v>
      </c>
      <c r="C45" s="21" t="n"/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  <c r="M45" s="2" t="n"/>
      <c r="N45" s="2" t="n"/>
    </row>
    <row r="46" ht="16.5" customHeight="1" s="462">
      <c r="B46" s="47" t="n">
        <v>990</v>
      </c>
      <c r="C46" s="21" t="inlineStr">
        <is>
          <t>山原</t>
        </is>
      </c>
      <c r="D46" s="35" t="n"/>
      <c r="E46" s="35" t="n"/>
      <c r="F46" s="466" t="n"/>
      <c r="H46" s="38" t="n"/>
      <c r="I46" s="38" t="n"/>
      <c r="J46" s="38" t="n"/>
      <c r="K46" s="39" t="n"/>
      <c r="L46" s="2" t="n"/>
      <c r="M46" s="2" t="n"/>
      <c r="N46" s="2" t="n"/>
    </row>
    <row r="47" ht="16.5" customHeight="1" s="462">
      <c r="L47" s="2" t="n"/>
      <c r="M47" s="2" t="n"/>
      <c r="N47" s="2" t="n"/>
    </row>
    <row r="48" ht="16.5" customHeight="1" s="462">
      <c r="C48" s="449" t="inlineStr">
        <is>
          <t>出発→到着</t>
        </is>
      </c>
      <c r="D48" s="420" t="inlineStr">
        <is>
          <t>備考</t>
        </is>
      </c>
      <c r="L48" s="2" t="n"/>
      <c r="M48" s="2" t="n"/>
      <c r="N48" s="2" t="n"/>
    </row>
    <row r="49" ht="16.5" customHeight="1" s="462">
      <c r="B49" s="27" t="inlineStr">
        <is>
          <t>①</t>
        </is>
      </c>
      <c r="C49" s="449" t="inlineStr">
        <is>
          <t>東→西</t>
        </is>
      </c>
      <c r="D49" s="485" t="inlineStr">
        <is>
          <t>①Aチーム優先</t>
        </is>
      </c>
      <c r="E49" s="486" t="n"/>
      <c r="F49" s="486" t="n"/>
      <c r="G49" s="486" t="n"/>
      <c r="H49" s="486" t="n"/>
      <c r="I49" s="486" t="n"/>
      <c r="J49" s="466" t="n"/>
      <c r="L49" s="2" t="n"/>
      <c r="M49" s="2" t="n"/>
      <c r="N49" s="2" t="n"/>
    </row>
    <row r="50" ht="16.5" customHeight="1" s="462">
      <c r="B50" s="27" t="inlineStr">
        <is>
          <t>②</t>
        </is>
      </c>
      <c r="C50" s="449" t="inlineStr">
        <is>
          <t>東→東</t>
        </is>
      </c>
      <c r="D50" s="485" t="inlineStr">
        <is>
          <t>②急ぎ案件の場合、道路状況も伝えてあげる。</t>
        </is>
      </c>
      <c r="E50" s="486" t="n"/>
      <c r="F50" s="486" t="n"/>
      <c r="G50" s="486" t="n"/>
      <c r="H50" s="486" t="n"/>
      <c r="I50" s="486" t="n"/>
      <c r="J50" s="466" t="n"/>
      <c r="L50" s="2" t="n"/>
      <c r="M50" s="2" t="n"/>
      <c r="N50" s="2" t="n"/>
    </row>
    <row r="51">
      <c r="B51" s="27" t="inlineStr">
        <is>
          <t>③</t>
        </is>
      </c>
      <c r="C51" s="449" t="inlineStr">
        <is>
          <t>西→東</t>
        </is>
      </c>
      <c r="D51" s="485" t="inlineStr">
        <is>
          <t>③各ドライバーの位置からの帰社のタイミング・夕方の配置</t>
        </is>
      </c>
      <c r="E51" s="486" t="n"/>
      <c r="F51" s="486" t="n"/>
      <c r="G51" s="486" t="n"/>
      <c r="H51" s="486" t="n"/>
      <c r="I51" s="486" t="n"/>
      <c r="J51" s="466" t="n"/>
      <c r="L51" s="2" t="n"/>
      <c r="M51" s="2" t="n"/>
      <c r="N51" s="2" t="n"/>
    </row>
    <row r="52">
      <c r="B52" s="27" t="inlineStr">
        <is>
          <t>④</t>
        </is>
      </c>
      <c r="C52" s="449" t="inlineStr">
        <is>
          <t>西→西</t>
        </is>
      </c>
      <c r="D52" s="485" t="inlineStr">
        <is>
          <t>④依頼を受ける際の、希望時間と現状の位置。行けるか行けないかの判断をしっかりと。</t>
        </is>
      </c>
      <c r="E52" s="486" t="n"/>
      <c r="F52" s="486" t="n"/>
      <c r="G52" s="486" t="n"/>
      <c r="H52" s="486" t="n"/>
      <c r="I52" s="486" t="n"/>
      <c r="J52" s="466" t="n"/>
      <c r="L52" s="2" t="n"/>
      <c r="M52" s="2" t="n"/>
      <c r="N52" s="2" t="n"/>
    </row>
    <row r="53">
      <c r="D53" s="485" t="inlineStr">
        <is>
          <t>⑤軽に乗るか乗らないかの判断に気を付ける。</t>
        </is>
      </c>
      <c r="E53" s="486" t="n"/>
      <c r="F53" s="486" t="n"/>
      <c r="G53" s="486" t="n"/>
      <c r="H53" s="486" t="n"/>
      <c r="I53" s="486" t="n"/>
      <c r="J53" s="466" t="n"/>
      <c r="L53" s="2" t="n"/>
      <c r="M53" s="2" t="n"/>
      <c r="N53" s="2" t="n"/>
    </row>
    <row r="54">
      <c r="B54" s="22" t="n"/>
      <c r="C54" s="420" t="inlineStr">
        <is>
          <t>現状配置(予測)</t>
        </is>
      </c>
      <c r="D54" s="485" t="inlineStr">
        <is>
          <t>⑥18/1日、1.8/1人、3件/1人</t>
        </is>
      </c>
      <c r="E54" s="486" t="n"/>
      <c r="F54" s="486" t="n"/>
      <c r="G54" s="486" t="n"/>
      <c r="H54" s="486" t="n"/>
      <c r="I54" s="486" t="n"/>
      <c r="J54" s="466" t="n"/>
      <c r="L54" s="2" t="n"/>
      <c r="M54" s="2" t="n"/>
      <c r="N54" s="2" t="n"/>
    </row>
    <row r="55">
      <c r="B55" s="420" t="inlineStr">
        <is>
          <t>西(神戸西・弥栄台)</t>
        </is>
      </c>
      <c r="C55" s="420" t="n"/>
      <c r="D55" s="485" t="inlineStr">
        <is>
          <t>⑦依頼書の見落とし(日付、入替、入出庫、場所）</t>
        </is>
      </c>
      <c r="E55" s="486" t="n"/>
      <c r="F55" s="486" t="n"/>
      <c r="G55" s="486" t="n"/>
      <c r="H55" s="486" t="n"/>
      <c r="I55" s="486" t="n"/>
      <c r="J55" s="466" t="n"/>
      <c r="L55" s="2" t="n"/>
      <c r="M55" s="2" t="n"/>
      <c r="N55" s="2" t="n"/>
    </row>
    <row r="56">
      <c r="B56" s="420" t="inlineStr">
        <is>
          <t>真ん中(摩耶・中央)</t>
        </is>
      </c>
      <c r="C56" s="420" t="n"/>
      <c r="D56" s="485" t="inlineStr">
        <is>
          <t>⑧3ｔ車と2ｔ車への振り方(西と東に振り分ける)</t>
        </is>
      </c>
      <c r="E56" s="486" t="n"/>
      <c r="F56" s="486" t="n"/>
      <c r="G56" s="486" t="n"/>
      <c r="H56" s="486" t="n"/>
      <c r="I56" s="486" t="n"/>
      <c r="J56" s="466" t="n"/>
      <c r="L56" s="2" t="n"/>
      <c r="M56" s="2" t="n"/>
      <c r="N56" s="2" t="n"/>
    </row>
    <row r="57">
      <c r="B57" s="420" t="inlineStr">
        <is>
          <t>東(尼崎・伊丹・西宮)</t>
        </is>
      </c>
      <c r="C57" s="420" t="n"/>
      <c r="D57" s="485" t="inlineStr">
        <is>
          <t>⑨</t>
        </is>
      </c>
      <c r="E57" s="486" t="n"/>
      <c r="F57" s="486" t="n"/>
      <c r="G57" s="486" t="n"/>
      <c r="H57" s="486" t="n"/>
      <c r="I57" s="486" t="n"/>
      <c r="J57" s="466" t="n"/>
      <c r="L57" s="2" t="n"/>
      <c r="M57" s="2" t="n"/>
      <c r="N57" s="2" t="n"/>
    </row>
    <row r="58">
      <c r="B58" s="48" t="inlineStr">
        <is>
          <t>極東(港区・淀屋橋)</t>
        </is>
      </c>
      <c r="C58" s="420" t="n"/>
      <c r="D58" s="49" t="n"/>
      <c r="E58" s="49" t="n"/>
      <c r="F58" s="49" t="n"/>
      <c r="G58" s="49" t="n"/>
      <c r="H58" s="49" t="n"/>
      <c r="I58" s="49" t="n"/>
      <c r="J58" s="49" t="n"/>
      <c r="L58" s="2" t="n"/>
      <c r="M58" s="2" t="n"/>
      <c r="N58" s="2" t="n"/>
    </row>
    <row r="59" ht="14.25" customHeight="1" s="462" thickBot="1">
      <c r="L59" s="2" t="n"/>
      <c r="M59" s="2" t="n"/>
      <c r="N59" s="2" t="n"/>
    </row>
    <row r="60">
      <c r="C60" s="473" t="inlineStr">
        <is>
          <t>合計額/380</t>
        </is>
      </c>
      <c r="D60" s="358">
        <f>SUM(G60)</f>
        <v/>
      </c>
      <c r="F60" s="360" t="inlineStr">
        <is>
          <t>売り上げ額</t>
        </is>
      </c>
      <c r="G60" s="362">
        <f>SUM(SUM(K4:K26))+SUM(#REF!)</f>
        <v/>
      </c>
      <c r="H60" s="465" t="n"/>
      <c r="I60" s="465" t="n"/>
      <c r="J60" s="467" t="n"/>
      <c r="L60" s="2" t="n"/>
      <c r="M60" s="2" t="n"/>
      <c r="N60" s="2" t="n"/>
    </row>
    <row r="61" ht="14.25" customHeight="1" s="462" thickBot="1">
      <c r="C61" s="474" t="n"/>
      <c r="D61" s="475" t="n"/>
      <c r="F61" s="468" t="n"/>
      <c r="G61" s="476" t="n"/>
      <c r="H61" s="477" t="n"/>
      <c r="I61" s="477" t="n"/>
      <c r="J61" s="469" t="n"/>
      <c r="L61" s="2" t="n"/>
      <c r="M61" s="2" t="n"/>
      <c r="N61" s="2" t="n"/>
    </row>
    <row r="62">
      <c r="C62" s="478" t="inlineStr">
        <is>
          <t>前日までの売上合計額</t>
        </is>
      </c>
      <c r="D62" s="479">
        <f>SUM(B71)</f>
        <v/>
      </c>
      <c r="L62" s="2" t="n"/>
      <c r="M62" s="2" t="n"/>
      <c r="N62" s="2" t="n"/>
    </row>
    <row r="63" ht="14.25" customHeight="1" s="462" thickBot="1">
      <c r="C63" s="480" t="n"/>
      <c r="D63" s="480" t="n"/>
      <c r="F63" s="420" t="inlineStr">
        <is>
          <t>金井（55)</t>
        </is>
      </c>
      <c r="G63" s="345" t="n"/>
      <c r="H63" s="466" t="n"/>
      <c r="I63" s="130" t="n"/>
      <c r="L63" s="2" t="n"/>
      <c r="M63" s="2" t="n"/>
      <c r="N63" s="2" t="n"/>
    </row>
    <row r="64" ht="14.25" customHeight="1" s="462" thickTop="1">
      <c r="D64" s="346">
        <f>D60+D62</f>
        <v/>
      </c>
      <c r="F64" s="420" t="inlineStr">
        <is>
          <t>粟津(55)</t>
        </is>
      </c>
      <c r="G64" s="340" t="n"/>
      <c r="H64" s="466" t="n"/>
      <c r="I64" s="131" t="n"/>
      <c r="L64" s="2" t="n"/>
      <c r="M64" s="2" t="n"/>
      <c r="N64" s="2" t="n"/>
    </row>
    <row r="65">
      <c r="F65" s="420" t="inlineStr">
        <is>
          <t>砂川(50)</t>
        </is>
      </c>
      <c r="G65" s="340" t="n"/>
      <c r="H65" s="466" t="n"/>
      <c r="I65" s="131" t="n"/>
      <c r="L65" s="2" t="n"/>
      <c r="M65" s="2" t="n"/>
      <c r="N65" s="2" t="n"/>
    </row>
    <row r="66">
      <c r="C66" s="2" t="inlineStr">
        <is>
          <t>高代</t>
        </is>
      </c>
      <c r="F66" s="420" t="inlineStr">
        <is>
          <t>前川(50)</t>
        </is>
      </c>
      <c r="G66" s="340" t="n"/>
      <c r="H66" s="466" t="n"/>
      <c r="I66" s="131" t="n"/>
      <c r="L66" s="2" t="n"/>
      <c r="M66" s="2" t="n"/>
      <c r="N66" s="2" t="n"/>
    </row>
    <row r="67">
      <c r="C67" s="2" t="inlineStr">
        <is>
          <t>返還代</t>
        </is>
      </c>
      <c r="F67" s="420" t="inlineStr">
        <is>
          <t>佐藤(50)</t>
        </is>
      </c>
      <c r="G67" s="345" t="n"/>
      <c r="H67" s="466" t="n"/>
      <c r="I67" s="130" t="n"/>
      <c r="L67" s="2" t="n"/>
      <c r="M67" s="2" t="n"/>
      <c r="N67" s="2" t="n"/>
    </row>
    <row r="68">
      <c r="C68" s="2" t="inlineStr">
        <is>
          <t>回収率</t>
        </is>
      </c>
      <c r="D68" s="50">
        <f>D67/D66</f>
        <v/>
      </c>
      <c r="F68" s="420" t="inlineStr">
        <is>
          <t>末次(55)</t>
        </is>
      </c>
      <c r="G68" s="340" t="n"/>
      <c r="H68" s="466" t="n"/>
      <c r="I68" s="131" t="n"/>
      <c r="L68" s="2" t="n"/>
      <c r="M68" s="2" t="n"/>
      <c r="N68" s="2" t="n"/>
    </row>
    <row r="69">
      <c r="C69" s="2" t="inlineStr">
        <is>
          <t>費</t>
        </is>
      </c>
      <c r="D69" s="2">
        <f>D66-D67</f>
        <v/>
      </c>
      <c r="F69" s="420" t="inlineStr">
        <is>
          <t>筒井(75)</t>
        </is>
      </c>
      <c r="G69" s="340" t="n"/>
      <c r="H69" s="466" t="n"/>
      <c r="I69" s="131" t="n"/>
      <c r="L69" s="2" t="n"/>
      <c r="M69" s="2" t="n"/>
      <c r="N69" s="2" t="n"/>
    </row>
    <row r="70">
      <c r="F70" s="420" t="inlineStr">
        <is>
          <t>山岸(40)</t>
        </is>
      </c>
      <c r="G70" s="340" t="n"/>
      <c r="H70" s="466" t="n"/>
      <c r="I70" s="131" t="n"/>
      <c r="L70" s="2" t="n"/>
      <c r="M70" s="2" t="n"/>
      <c r="N70" s="2" t="n"/>
    </row>
    <row r="71" ht="17.25" customHeight="1" s="462">
      <c r="B71" s="71" t="n"/>
      <c r="F71" s="420" t="inlineStr">
        <is>
          <t>多苗(30)</t>
        </is>
      </c>
      <c r="G71" s="340" t="n"/>
      <c r="H71" s="466" t="n"/>
      <c r="I71" s="131" t="n"/>
      <c r="L71" s="2" t="inlineStr">
        <is>
          <t> </t>
        </is>
      </c>
      <c r="M71" s="2" t="n"/>
      <c r="N71" s="2" t="n"/>
    </row>
    <row r="72">
      <c r="L72" s="2" t="n"/>
      <c r="M72" s="2" t="n"/>
      <c r="N72" s="2" t="n"/>
    </row>
    <row r="73">
      <c r="L73" s="2" t="n"/>
      <c r="M73" s="2" t="n"/>
      <c r="N73" s="2" t="n"/>
    </row>
    <row r="75" ht="23.25" customHeight="1" s="462"/>
  </sheetData>
  <mergeCells count="53">
    <mergeCell ref="E43:F43"/>
    <mergeCell ref="Q16:R16"/>
    <mergeCell ref="Q3:R3"/>
    <mergeCell ref="D56:J56"/>
    <mergeCell ref="E33:F33"/>
    <mergeCell ref="G71:H71"/>
    <mergeCell ref="E42:F42"/>
    <mergeCell ref="G67:H67"/>
    <mergeCell ref="D55:J55"/>
    <mergeCell ref="Q18:R18"/>
    <mergeCell ref="G70:H70"/>
    <mergeCell ref="D51:J51"/>
    <mergeCell ref="E35:F35"/>
    <mergeCell ref="B2:C2"/>
    <mergeCell ref="D54:J54"/>
    <mergeCell ref="D50:J50"/>
    <mergeCell ref="E29:F29"/>
    <mergeCell ref="Q5:R5"/>
    <mergeCell ref="H29:J30"/>
    <mergeCell ref="G66:H66"/>
    <mergeCell ref="Q19:R19"/>
    <mergeCell ref="K31:K32"/>
    <mergeCell ref="Q26:R26"/>
    <mergeCell ref="G69:H69"/>
    <mergeCell ref="E31:F31"/>
    <mergeCell ref="Q4:R4"/>
    <mergeCell ref="D62:D63"/>
    <mergeCell ref="E34:F34"/>
    <mergeCell ref="H31:J32"/>
    <mergeCell ref="E30:F30"/>
    <mergeCell ref="E46:F46"/>
    <mergeCell ref="G68:H68"/>
    <mergeCell ref="C60:C61"/>
    <mergeCell ref="D52:J52"/>
    <mergeCell ref="H34:J35"/>
    <mergeCell ref="E45:F45"/>
    <mergeCell ref="D64:D65"/>
    <mergeCell ref="G60:J61"/>
    <mergeCell ref="E36:F36"/>
    <mergeCell ref="D57:J57"/>
    <mergeCell ref="G65:H65"/>
    <mergeCell ref="D49:J49"/>
    <mergeCell ref="G64:H64"/>
    <mergeCell ref="K34:K35"/>
    <mergeCell ref="C62:C63"/>
    <mergeCell ref="Q17:R17"/>
    <mergeCell ref="E32:F32"/>
    <mergeCell ref="D60:D61"/>
    <mergeCell ref="D53:J53"/>
    <mergeCell ref="G63:H63"/>
    <mergeCell ref="F60:F61"/>
    <mergeCell ref="E37:F37"/>
    <mergeCell ref="K29:K30"/>
  </mergeCells>
  <conditionalFormatting sqref="L3:L26">
    <cfRule type="cellIs" priority="4" operator="greaterThan" dxfId="0">
      <formula>30</formula>
    </cfRule>
  </conditionalFormatting>
  <conditionalFormatting sqref="K31:K32">
    <cfRule type="cellIs" priority="2" operator="lessThan" dxfId="7">
      <formula>-90</formula>
    </cfRule>
    <cfRule type="cellIs" priority="3" operator="lessThan" dxfId="7">
      <formula>0</formula>
    </cfRule>
  </conditionalFormatting>
  <conditionalFormatting sqref="L3">
    <cfRule type="cellIs" priority="5" operator="greaterThan" dxfId="6">
      <formula>30</formula>
    </cfRule>
    <cfRule type="cellIs" priority="6" operator="greaterThan" dxfId="5">
      <formula>30</formula>
    </cfRule>
  </conditionalFormatting>
  <conditionalFormatting sqref="D5:D14 D16:D34">
    <cfRule type="containsText" priority="7" operator="containsText" dxfId="3" text="～">
      <formula>NOT(ISERROR(SEARCH("～",D5)))</formula>
    </cfRule>
  </conditionalFormatting>
  <conditionalFormatting sqref="D15">
    <cfRule type="containsText" priority="1" operator="containsText" dxfId="3" text="～">
      <formula>NOT(ISERROR(SEARCH("～",D15)))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92"/>
  <sheetViews>
    <sheetView zoomScaleNormal="100" workbookViewId="0">
      <selection activeCell="I7" sqref="I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0.3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1"/>
    <col outlineLevel="1" width="20.25" customWidth="1" style="77" min="12" max="12"/>
    <col width="8.75" customWidth="1" style="449" min="13" max="14"/>
    <col width="8.75" customWidth="1" style="2" min="15" max="16384"/>
  </cols>
  <sheetData>
    <row r="1"/>
    <row r="2" ht="15" customHeight="1" s="462" thickBot="1">
      <c r="B2" s="493" t="n">
        <v>46188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48" customHeight="1" s="462">
      <c r="A5" s="423">
        <f>IF(B5="","",COUNTA($B$5:B5))</f>
        <v/>
      </c>
      <c r="B5" s="57" t="n"/>
      <c r="C5" s="64" t="n"/>
      <c r="D5" s="63" t="n"/>
      <c r="E5" s="441" t="n"/>
      <c r="F5" s="57" t="n"/>
      <c r="G5" s="207" t="n"/>
      <c r="H5" s="260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O5" s="449" t="n"/>
      <c r="P5" s="449" t="n"/>
      <c r="Q5" s="449" t="n"/>
    </row>
    <row r="6" ht="26.25" customHeight="1" s="462">
      <c r="A6" s="423">
        <f>IF(B6="","",COUNTA($B$5:B6))</f>
        <v/>
      </c>
      <c r="B6" s="441" t="n"/>
      <c r="C6" s="440" t="n"/>
      <c r="D6" s="441" t="n"/>
      <c r="E6" s="261" t="n"/>
      <c r="F6" s="57" t="n"/>
      <c r="G6" s="59" t="n"/>
      <c r="H6" s="438" t="n"/>
      <c r="I6" s="295">
        <f>IFERROR(_xlfn.XLOOKUP(H6,案件・ドライバー一覧!$L$3:$L$17,案件・ドライバー一覧!$M$3:$M$17,""),"")</f>
        <v/>
      </c>
      <c r="J6" s="57" t="n"/>
      <c r="K6" s="72" t="n"/>
      <c r="L6" s="61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441" t="n"/>
      <c r="C7" s="440" t="n"/>
      <c r="D7" s="441" t="n"/>
      <c r="E7" s="440" t="n"/>
      <c r="F7" s="57" t="n"/>
      <c r="G7" s="65" t="n"/>
      <c r="H7" s="260" t="n"/>
      <c r="I7" s="295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441" t="n"/>
      <c r="C8" s="64" t="n"/>
      <c r="D8" s="440" t="n"/>
      <c r="E8" s="63" t="n"/>
      <c r="F8" s="57" t="n"/>
      <c r="G8" s="59" t="n"/>
      <c r="H8" s="260" t="n"/>
      <c r="I8" s="427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O8" s="449" t="n"/>
      <c r="P8" s="449" t="n"/>
      <c r="Q8" s="449" t="n"/>
      <c r="R8" s="449" t="n"/>
    </row>
    <row r="9" ht="48" customHeight="1" s="462">
      <c r="A9" s="423">
        <f>IF(B9="","",COUNTA($B$5:B9))</f>
        <v/>
      </c>
      <c r="B9" s="57" t="n"/>
      <c r="C9" s="248" t="n"/>
      <c r="D9" s="63" t="n"/>
      <c r="E9" s="441" t="n"/>
      <c r="F9" s="57" t="n"/>
      <c r="G9" s="207" t="n"/>
      <c r="H9" s="438" t="n"/>
      <c r="I9" s="295">
        <f>IFERROR(_xlfn.XLOOKUP(H9,案件・ドライバー一覧!$L$3:$L$17,案件・ドライバー一覧!$M$3:$M$17,""),"")</f>
        <v/>
      </c>
      <c r="J9" s="57" t="n"/>
      <c r="K9" s="73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O9" s="449" t="n"/>
      <c r="P9" s="449" t="n"/>
      <c r="Q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260" t="n"/>
      <c r="I10" s="296">
        <f>IFERROR(_xlfn.XLOOKUP(H10,案件・ドライバー一覧!$L$3:$L$17,案件・ドライバー一覧!$M$3:$M$17,""),"")</f>
        <v/>
      </c>
      <c r="J10" s="420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O10" s="449" t="n"/>
      <c r="P10" s="449" t="n"/>
      <c r="Q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247" t="n"/>
      <c r="H11" s="260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260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260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O13" s="449" t="n"/>
      <c r="P13" s="449" t="n"/>
      <c r="Q13" s="449" t="n"/>
      <c r="R13" s="449" t="n"/>
    </row>
    <row r="14" ht="48" customHeight="1" s="462">
      <c r="A14" s="423">
        <f>IF(B14="","",COUNTA($B$5:B14))</f>
        <v/>
      </c>
      <c r="B14" s="57" t="n"/>
      <c r="C14" s="248" t="n"/>
      <c r="D14" s="63" t="n"/>
      <c r="E14" s="441" t="n"/>
      <c r="F14" s="57" t="n"/>
      <c r="G14" s="207" t="n"/>
      <c r="H14" s="260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246" t="n"/>
      <c r="E15" s="441" t="n"/>
      <c r="F15" s="57" t="n"/>
      <c r="G15" s="65" t="n"/>
      <c r="H15" s="260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O15" s="449" t="n"/>
      <c r="P15" s="449" t="n"/>
      <c r="Q15" s="449" t="n"/>
      <c r="R15" s="449" t="n"/>
    </row>
    <row r="16" ht="40.5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295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O16" s="449" t="n"/>
      <c r="P16" s="449" t="n"/>
      <c r="Q16" s="449" t="n"/>
      <c r="R16" s="449" t="n"/>
    </row>
    <row r="17" ht="17.25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4" t="n"/>
      <c r="D18" s="441" t="n"/>
      <c r="E18" s="441" t="n"/>
      <c r="F18" s="57" t="n"/>
      <c r="G18" s="66" t="n"/>
      <c r="H18" s="260" t="n"/>
      <c r="I18" s="427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260" t="n"/>
      <c r="I19" s="427" t="n"/>
      <c r="J19" s="57" t="n"/>
      <c r="K19" s="72" t="n"/>
      <c r="L19" s="61" t="n"/>
      <c r="O19" s="449" t="n"/>
      <c r="P19" s="449" t="n"/>
      <c r="Q19" s="449" t="n"/>
      <c r="R19" s="449" t="n"/>
    </row>
    <row r="20" ht="36" customHeight="1" s="462">
      <c r="A20" s="423">
        <f>IF(B20="","",COUNTA($B$5:B20))</f>
        <v/>
      </c>
      <c r="B20" s="57" t="n"/>
      <c r="C20" s="63" t="n"/>
      <c r="D20" s="441" t="n"/>
      <c r="E20" s="64" t="n"/>
      <c r="F20" s="57" t="n"/>
      <c r="G20" s="65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O20" s="449" t="n"/>
      <c r="P20" s="449" t="n"/>
      <c r="Q20" s="449" t="n"/>
      <c r="R20" s="449" t="n"/>
    </row>
    <row r="21" ht="30.75" customHeight="1" s="462">
      <c r="A21" s="423">
        <f>IF(B21="","",COUNTA($B$5:B21))</f>
        <v/>
      </c>
      <c r="B21" s="57" t="n"/>
      <c r="C21" s="441" t="n"/>
      <c r="D21" s="441" t="n"/>
      <c r="E21" s="64" t="n"/>
      <c r="F21" s="57" t="n"/>
      <c r="G21" s="65" t="n"/>
      <c r="H21" s="260" t="n"/>
      <c r="I21" s="427" t="n"/>
      <c r="J21" s="57" t="n"/>
      <c r="K21" s="72" t="n"/>
      <c r="L21" s="61" t="n"/>
      <c r="O21" s="449" t="n"/>
      <c r="P21" s="449" t="n"/>
      <c r="Q21" s="449" t="n"/>
      <c r="R21" s="449" t="n"/>
    </row>
    <row r="22" ht="24.75" customHeight="1" s="462">
      <c r="A22" s="423">
        <f>IF(B22="","",COUNTA($B$5:B22))</f>
        <v/>
      </c>
      <c r="B22" s="57" t="n"/>
      <c r="C22" s="441" t="n"/>
      <c r="D22" s="441" t="n"/>
      <c r="E22" s="441" t="n"/>
      <c r="F22" s="57" t="n"/>
      <c r="G22" s="66" t="n"/>
      <c r="H22" s="260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260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441" t="n"/>
      <c r="C24" s="63" t="n"/>
      <c r="D24" s="441" t="n"/>
      <c r="E24" s="441" t="n"/>
      <c r="F24" s="57" t="n"/>
      <c r="G24" s="65" t="n"/>
      <c r="H24" s="260" t="n"/>
      <c r="I24" s="427" t="n"/>
      <c r="J24" s="57" t="n"/>
      <c r="K24" s="73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57" t="n"/>
      <c r="C25" s="63" t="n"/>
      <c r="D25" s="64" t="n"/>
      <c r="E25" s="420" t="n"/>
      <c r="F25" s="57" t="n"/>
      <c r="G25" s="66" t="n"/>
      <c r="H25" s="260" t="n"/>
      <c r="I25" s="438" t="n"/>
      <c r="J25" s="420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O25" s="449" t="n"/>
      <c r="P25" s="449" t="n"/>
      <c r="Q25" s="449" t="n"/>
    </row>
    <row r="26" ht="14.25" customHeight="1" s="462">
      <c r="A26" s="423">
        <f>IF(B26="","",COUNTA($B$5:B26))</f>
        <v/>
      </c>
      <c r="B26" s="57" t="n"/>
      <c r="C26" s="420" t="n"/>
      <c r="D26" s="63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O26" s="449" t="n"/>
      <c r="P26" s="449" t="n"/>
      <c r="Q26" s="449" t="n"/>
    </row>
    <row r="27" ht="27.75" customHeight="1" s="462">
      <c r="A27" s="423">
        <f>IF(B27="","",COUNTA($B$5:B27))</f>
        <v/>
      </c>
      <c r="B27" s="57" t="n"/>
      <c r="C27" s="64" t="n"/>
      <c r="D27" s="441" t="n"/>
      <c r="E27" s="441" t="n"/>
      <c r="F27" s="57" t="n"/>
      <c r="G27" s="66" t="n"/>
      <c r="H27" s="260" t="n"/>
      <c r="I27" s="427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O27" s="449" t="n"/>
      <c r="P27" s="449" t="n"/>
      <c r="Q27" s="449" t="n"/>
    </row>
    <row r="28" ht="36" customHeight="1" s="462">
      <c r="A28" s="423">
        <f>IF(B28="","",COUNTA($B$5:B28))</f>
        <v/>
      </c>
      <c r="B28" s="57" t="n"/>
      <c r="C28" s="62" t="n"/>
      <c r="D28" s="441" t="n"/>
      <c r="E28" s="441" t="n"/>
      <c r="F28" s="57" t="n"/>
      <c r="G28" s="65" t="n"/>
      <c r="H28" s="260" t="n"/>
      <c r="I28" s="427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O28" s="449" t="n"/>
      <c r="P28" s="449" t="n"/>
      <c r="Q28" s="449" t="n"/>
      <c r="R28" s="449" t="n"/>
    </row>
    <row r="29" ht="27.75" customHeight="1" s="462">
      <c r="A29" s="423">
        <f>IF(B29="","",COUNTA($B$5:B29))</f>
        <v/>
      </c>
      <c r="B29" s="441" t="n"/>
      <c r="C29" s="440" t="n"/>
      <c r="D29" s="441" t="n"/>
      <c r="E29" s="441" t="n"/>
      <c r="F29" s="57" t="n"/>
      <c r="G29" s="65" t="n"/>
      <c r="H29" s="260" t="n"/>
      <c r="I29" s="438" t="n"/>
      <c r="J29" s="420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O29" s="449" t="n"/>
      <c r="P29" s="449" t="n"/>
      <c r="Q29" s="449" t="n"/>
    </row>
    <row r="30" ht="27.75" customHeight="1" s="462">
      <c r="A30" s="423">
        <f>IF(B30="","",COUNTA($B$5:B30))</f>
        <v/>
      </c>
      <c r="B30" s="441" t="n"/>
      <c r="C30" s="63" t="n"/>
      <c r="D30" s="441" t="n"/>
      <c r="E30" s="441" t="n"/>
      <c r="F30" s="57" t="n"/>
      <c r="G30" s="65" t="n"/>
      <c r="H30" s="260" t="n"/>
      <c r="I30" s="427" t="n"/>
      <c r="J30" s="57" t="n"/>
      <c r="K30" s="72" t="n"/>
      <c r="L30" s="61" t="n"/>
      <c r="O30" s="449" t="n"/>
      <c r="P30" s="449" t="n"/>
      <c r="Q30" s="449" t="n"/>
      <c r="R30" s="449" t="n"/>
    </row>
    <row r="31" ht="27.75" customHeight="1" s="462">
      <c r="A31" s="423">
        <f>IF(B31="","",COUNTA($B$5:B31))</f>
        <v/>
      </c>
      <c r="B31" s="441" t="n"/>
      <c r="C31" s="440" t="n"/>
      <c r="D31" s="441" t="n"/>
      <c r="E31" s="441" t="n"/>
      <c r="F31" s="57" t="n"/>
      <c r="G31" s="65" t="n"/>
      <c r="H31" s="438" t="n"/>
      <c r="I31" s="427" t="n"/>
      <c r="J31" s="57" t="n"/>
      <c r="K31" s="7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O31" s="449" t="n"/>
      <c r="P31" s="449" t="n"/>
      <c r="Q31" s="449" t="n"/>
      <c r="R31" s="449" t="n"/>
    </row>
    <row r="32" ht="25.5" customHeight="1" s="462">
      <c r="A32" s="423">
        <f>IF(B32="","",COUNTA($B$5:B32))</f>
        <v/>
      </c>
      <c r="B32" s="57" t="n"/>
      <c r="C32" s="441" t="n"/>
      <c r="D32" s="441" t="n"/>
      <c r="E32" s="441" t="n"/>
      <c r="F32" s="57" t="n"/>
      <c r="G32" s="65" t="n"/>
      <c r="H32" s="260" t="n"/>
      <c r="I32" s="427" t="n"/>
      <c r="J32" s="57" t="n"/>
      <c r="K32" s="72" t="n"/>
      <c r="L32" s="61" t="n"/>
      <c r="O32" s="449" t="n"/>
      <c r="P32" s="449" t="n"/>
      <c r="Q32" s="449" t="n"/>
      <c r="R32" s="449" t="n"/>
    </row>
    <row r="33" ht="27.75" customHeight="1" s="462">
      <c r="A33" s="423">
        <f>IF(B33="","",COUNTA($B$5:B33))</f>
        <v/>
      </c>
      <c r="B33" s="441" t="n"/>
      <c r="C33" s="440" t="n"/>
      <c r="D33" s="441" t="n"/>
      <c r="E33" s="440" t="n"/>
      <c r="F33" s="57" t="n"/>
      <c r="G33" s="65" t="n"/>
      <c r="H33" s="260" t="n"/>
      <c r="I33" s="427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O33" s="449" t="n"/>
      <c r="P33" s="449" t="n"/>
      <c r="Q33" s="449" t="n"/>
      <c r="R33" s="449" t="n"/>
    </row>
    <row r="34" ht="27.75" customHeight="1" s="462">
      <c r="A34" s="423">
        <f>IF(B34="","",COUNTA($B$5:B34))</f>
        <v/>
      </c>
      <c r="B34" s="441" t="n"/>
      <c r="C34" s="440" t="n"/>
      <c r="D34" s="441" t="n"/>
      <c r="E34" s="440" t="n"/>
      <c r="F34" s="57" t="n"/>
      <c r="G34" s="65" t="n"/>
      <c r="H34" s="438" t="n"/>
      <c r="I34" s="427" t="n"/>
      <c r="J34" s="57" t="n"/>
      <c r="K34" s="72" t="n"/>
      <c r="L34" s="61" t="n"/>
      <c r="O34" s="449" t="n"/>
      <c r="P34" s="449" t="n"/>
      <c r="Q34" s="449" t="n"/>
      <c r="R34" s="449" t="n"/>
    </row>
    <row r="35" ht="27.75" customHeight="1" s="462">
      <c r="A35" s="423">
        <f>IF(B35="","",COUNTA($B$5:B35))</f>
        <v/>
      </c>
      <c r="B35" s="441" t="n"/>
      <c r="C35" s="440" t="n"/>
      <c r="D35" s="441" t="n"/>
      <c r="E35" s="441" t="n"/>
      <c r="F35" s="57" t="n"/>
      <c r="G35" s="65" t="n"/>
      <c r="H35" s="260" t="n"/>
      <c r="I35" s="427" t="n"/>
      <c r="J35" s="57" t="n"/>
      <c r="K35" s="7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O35" s="449" t="n"/>
      <c r="P35" s="449" t="n"/>
      <c r="Q35" s="449" t="n"/>
      <c r="R35" s="449" t="n"/>
    </row>
    <row r="36" ht="27" customHeight="1" s="462">
      <c r="A36" s="423">
        <f>IF(B36="","",COUNTA($B$5:B36))</f>
        <v/>
      </c>
      <c r="B36" s="441" t="n"/>
      <c r="C36" s="63" t="n"/>
      <c r="D36" s="441" t="n"/>
      <c r="E36" s="441" t="n"/>
      <c r="F36" s="57" t="n"/>
      <c r="G36" s="65" t="n"/>
      <c r="H36" s="260" t="n"/>
      <c r="I36" s="427" t="n"/>
      <c r="J36" s="57" t="n"/>
      <c r="K36" s="73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O36" s="449" t="n"/>
      <c r="P36" s="449" t="n"/>
      <c r="Q36" s="449" t="n"/>
      <c r="R36" s="449" t="n"/>
    </row>
    <row r="37" ht="27" customHeight="1" s="462">
      <c r="A37" s="423">
        <f>IF(B37="","",COUNTA($B$5:B37))</f>
        <v/>
      </c>
      <c r="B37" s="441" t="n"/>
      <c r="C37" s="63" t="n"/>
      <c r="D37" s="441" t="n"/>
      <c r="E37" s="441" t="n"/>
      <c r="F37" s="57" t="n"/>
      <c r="G37" s="65" t="n"/>
      <c r="H37" s="260" t="n"/>
      <c r="I37" s="427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O37" s="449" t="n"/>
      <c r="P37" s="449" t="n"/>
      <c r="Q37" s="449" t="n"/>
      <c r="R37" s="449" t="n"/>
    </row>
    <row r="38" ht="19.5" customHeight="1" s="462">
      <c r="A38" s="423">
        <f>IF(B38="","",COUNTA($B$5:B38))</f>
        <v/>
      </c>
      <c r="B38" s="441" t="n"/>
      <c r="C38" s="63" t="n"/>
      <c r="D38" s="440" t="n"/>
      <c r="E38" s="441" t="n"/>
      <c r="F38" s="57" t="n"/>
      <c r="G38" s="59" t="n"/>
      <c r="H38" s="438" t="n"/>
      <c r="I38" s="427" t="n"/>
      <c r="J38" s="57" t="n"/>
      <c r="K38" s="73" t="n"/>
      <c r="L38" s="61" t="n"/>
      <c r="O38" s="449" t="n"/>
      <c r="P38" s="449" t="n"/>
      <c r="Q38" s="449" t="n"/>
      <c r="R38" s="449" t="n"/>
    </row>
    <row r="39" ht="27" customHeight="1" s="462">
      <c r="A39" s="423">
        <f>IF(B39="","",COUNTA($B$5:B39))</f>
        <v/>
      </c>
      <c r="B39" s="441" t="n"/>
      <c r="C39" s="440" t="n"/>
      <c r="D39" s="441" t="n"/>
      <c r="E39" s="440" t="n"/>
      <c r="F39" s="57" t="n"/>
      <c r="G39" s="65" t="n"/>
      <c r="H39" s="260" t="n"/>
      <c r="I39" s="427" t="n"/>
      <c r="J39" s="57" t="n"/>
      <c r="K39" s="72" t="n"/>
      <c r="L39" s="61" t="n"/>
      <c r="O39" s="449" t="n"/>
      <c r="P39" s="449" t="n"/>
      <c r="Q39" s="449" t="n"/>
      <c r="R39" s="449" t="n"/>
    </row>
    <row r="40" ht="27" customHeight="1" s="462">
      <c r="A40" s="423">
        <f>IF(B40="","",COUNTA($B$5:B40))</f>
        <v/>
      </c>
      <c r="B40" s="441" t="n"/>
      <c r="C40" s="63" t="n"/>
      <c r="D40" s="440" t="n"/>
      <c r="E40" s="440" t="n"/>
      <c r="F40" s="57" t="n"/>
      <c r="G40" s="66" t="n"/>
      <c r="H40" s="260" t="n"/>
      <c r="I40" s="427" t="n"/>
      <c r="J40" s="57" t="n"/>
      <c r="K40" s="73" t="n"/>
      <c r="L40" s="61" t="n"/>
      <c r="O40" s="449" t="n"/>
      <c r="P40" s="449" t="n"/>
      <c r="Q40" s="449" t="n"/>
      <c r="R40" s="449" t="n"/>
    </row>
    <row r="41" ht="27" customHeight="1" s="462">
      <c r="A41" s="423">
        <f>IF(B41="","",COUNTA($B$5:B41))</f>
        <v/>
      </c>
      <c r="B41" s="441" t="n"/>
      <c r="C41" s="63" t="n"/>
      <c r="D41" s="440" t="n"/>
      <c r="E41" s="129" t="n"/>
      <c r="F41" s="57" t="n"/>
      <c r="G41" s="59" t="n"/>
      <c r="H41" s="260" t="n"/>
      <c r="I41" s="427" t="n"/>
      <c r="J41" s="57" t="n"/>
      <c r="K41" s="73" t="n"/>
      <c r="L41" s="61" t="n"/>
      <c r="O41" s="449" t="n"/>
      <c r="P41" s="449" t="n"/>
      <c r="Q41" s="449" t="n"/>
      <c r="R41" s="449" t="n"/>
    </row>
    <row r="42" ht="13.5" customHeight="1" s="462">
      <c r="A42" s="423">
        <f>IF(B42="","",COUNTA($B$5:B42))</f>
        <v/>
      </c>
      <c r="B42" s="441" t="n"/>
      <c r="C42" s="63" t="n"/>
      <c r="D42" s="440" t="n"/>
      <c r="E42" s="441" t="n"/>
      <c r="F42" s="57" t="n"/>
      <c r="G42" s="59" t="n"/>
      <c r="H42" s="438" t="n"/>
      <c r="I42" s="427" t="n"/>
      <c r="J42" s="57" t="n"/>
      <c r="K42" s="73" t="n"/>
      <c r="L42" s="61" t="n"/>
      <c r="O42" s="449" t="n"/>
      <c r="P42" s="449" t="n"/>
      <c r="Q42" s="449" t="n"/>
      <c r="R42" s="449" t="n"/>
    </row>
    <row r="43" ht="36" customHeight="1" s="462">
      <c r="A43" s="423">
        <f>IF(B43="","",COUNTA($B$5:B43))</f>
        <v/>
      </c>
      <c r="B43" s="57" t="n"/>
      <c r="C43" s="62" t="n"/>
      <c r="D43" s="441" t="n"/>
      <c r="E43" s="441" t="n"/>
      <c r="F43" s="57" t="n"/>
      <c r="G43" s="134" t="n"/>
      <c r="H43" s="438" t="n"/>
      <c r="I43" s="427" t="n"/>
      <c r="J43" s="57" t="n"/>
      <c r="K43" s="72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61" t="n"/>
      <c r="O43" s="449" t="n"/>
      <c r="P43" s="449" t="n"/>
      <c r="Q43" s="449" t="n"/>
      <c r="R43" s="449" t="n"/>
    </row>
    <row r="44" ht="27" customHeight="1" s="462">
      <c r="A44" s="423">
        <f>IF(B44="","",COUNTA($B$5:B44))</f>
        <v/>
      </c>
      <c r="B44" s="441" t="n"/>
      <c r="C44" s="63" t="n"/>
      <c r="D44" s="440" t="n"/>
      <c r="E44" s="441" t="n"/>
      <c r="F44" s="57" t="n"/>
      <c r="G44" s="59" t="n"/>
      <c r="H44" s="438" t="n"/>
      <c r="I44" s="427" t="n"/>
      <c r="J44" s="57" t="n"/>
      <c r="K44" s="73" t="n"/>
      <c r="L44" s="61" t="n"/>
      <c r="O44" s="449" t="n"/>
      <c r="P44" s="449" t="n"/>
      <c r="Q44" s="449" t="n"/>
      <c r="R44" s="449" t="n"/>
    </row>
    <row r="45" ht="27" customHeight="1" s="462">
      <c r="A45" s="423">
        <f>IF(B45="","",COUNTA($B$5:B45))</f>
        <v/>
      </c>
      <c r="B45" s="420" t="n"/>
      <c r="C45" s="420" t="n"/>
      <c r="D45" s="420" t="n"/>
      <c r="E45" s="420" t="n"/>
      <c r="F45" s="420" t="n"/>
      <c r="G45" s="69" t="n"/>
      <c r="H45" s="70" t="n"/>
      <c r="I45" s="70" t="n"/>
      <c r="J45" s="420" t="n"/>
      <c r="K45" s="22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61" t="n"/>
      <c r="O45" s="449" t="n"/>
      <c r="P45" s="449" t="n"/>
      <c r="Q45" s="449" t="n"/>
    </row>
    <row r="46">
      <c r="B46" s="18" t="n"/>
      <c r="C46" s="18" t="n"/>
      <c r="D46" s="18" t="n"/>
      <c r="E46" s="18" t="n"/>
      <c r="F46" s="18" t="n"/>
      <c r="G46" s="19" t="n"/>
      <c r="H46" s="33" t="n"/>
      <c r="I46" s="18" t="n"/>
      <c r="J46" s="18" t="n"/>
      <c r="K46" s="18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2" t="n"/>
      <c r="M46" s="2" t="n"/>
      <c r="N46" s="2" t="n"/>
    </row>
    <row r="47" ht="14.25" customHeight="1" s="462" thickBot="1">
      <c r="K47" s="2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7" s="2" t="n"/>
      <c r="M47" s="2" t="n"/>
      <c r="N47" s="2" t="n"/>
    </row>
    <row r="48">
      <c r="B48" s="22" t="n"/>
      <c r="C48" s="25" t="n"/>
      <c r="D48" s="25" t="inlineStr">
        <is>
          <t>現在待機場所</t>
        </is>
      </c>
      <c r="E48" s="25" t="inlineStr">
        <is>
          <t>待機予定場所</t>
        </is>
      </c>
      <c r="F48" s="466" t="n"/>
      <c r="H48" s="375" t="inlineStr">
        <is>
          <t>目標距離</t>
        </is>
      </c>
      <c r="I48" s="465" t="n"/>
      <c r="J48" s="467" t="n"/>
      <c r="K48" s="377">
        <f t="array" ref="K48">IF(OR(H48="",L48=""),"",IFERROR(_xlfn.LET(_xlpm.vt,VLOOKUP(IFERROR(VALUE(LEFT(H48,FIND("＊",H48&amp;"＊")-1)),H48),運賃マスター!$A$22:$B$40,2,FALSE),_xlpm.d,L48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8" s="2" t="n"/>
      <c r="M48" s="2" t="n"/>
      <c r="N48" s="2" t="n"/>
    </row>
    <row r="49" ht="14.25" customHeight="1" s="462" thickBot="1">
      <c r="B49" s="26" t="inlineStr">
        <is>
          <t>2(255)</t>
        </is>
      </c>
      <c r="C49" s="21" t="inlineStr">
        <is>
          <t>山岸</t>
        </is>
      </c>
      <c r="D49" s="34" t="n"/>
      <c r="E49" s="34" t="n"/>
      <c r="F49" s="466" t="n"/>
      <c r="H49" s="468" t="n"/>
      <c r="I49" s="477" t="n"/>
      <c r="J49" s="469" t="n"/>
      <c r="K49" s="470" t="n"/>
      <c r="L49" s="2" t="n"/>
      <c r="M49" s="2" t="n"/>
      <c r="N49" s="2" t="n"/>
    </row>
    <row r="50">
      <c r="B50" s="26" t="inlineStr">
        <is>
          <t>8(254)</t>
        </is>
      </c>
      <c r="C50" s="21" t="inlineStr">
        <is>
          <t>砂川</t>
        </is>
      </c>
      <c r="D50" s="35" t="n"/>
      <c r="E50" s="35" t="n"/>
      <c r="F50" s="466" t="n"/>
      <c r="H50" s="368" t="inlineStr">
        <is>
          <t>残距離</t>
        </is>
      </c>
      <c r="J50" s="471" t="n"/>
      <c r="K50" s="354">
        <f t="array" ref="K50">IF(OR(H50="",L50=""),"",IFERROR(_xlfn.LET(_xlpm.vt,VLOOKUP(IFERROR(VALUE(LEFT(H50,FIND("＊",H50&amp;"＊")-1)),H50),運賃マスター!$A$22:$B$40,2,FALSE),_xlpm.d,L50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0" s="2" t="n"/>
      <c r="M50" s="2" t="n"/>
      <c r="N50" s="2" t="n"/>
    </row>
    <row r="51" ht="14.25" customHeight="1" s="462" thickBot="1">
      <c r="B51" s="26" t="inlineStr">
        <is>
          <t>9(256)</t>
        </is>
      </c>
      <c r="C51" s="21" t="inlineStr">
        <is>
          <t>前川</t>
        </is>
      </c>
      <c r="D51" s="35" t="n"/>
      <c r="E51" s="35" t="n"/>
      <c r="F51" s="466" t="n"/>
      <c r="H51" s="468" t="n"/>
      <c r="I51" s="477" t="n"/>
      <c r="J51" s="469" t="n"/>
      <c r="K51" s="472" t="n"/>
      <c r="L51" s="2" t="n"/>
      <c r="M51" s="2" t="n"/>
      <c r="N51" s="2" t="n"/>
    </row>
    <row r="52" ht="14.25" customHeight="1" s="462" thickBot="1">
      <c r="B52" s="26" t="inlineStr">
        <is>
          <t>10(257)</t>
        </is>
      </c>
      <c r="C52" s="35" t="n"/>
      <c r="D52" s="35" t="n"/>
      <c r="E52" s="35" t="n"/>
      <c r="F52" s="466" t="n"/>
      <c r="K52" s="2">
        <f t="array" ref="K52">IF(OR(H52="",L52=""),"",IFERROR(_xlfn.LET(_xlpm.vt,VLOOKUP(IFERROR(VALUE(LEFT(H52,FIND("＊",H52&amp;"＊")-1)),H52),運賃マスター!$A$22:$B$40,2,FALSE),_xlpm.d,L52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2" s="2" t="n"/>
      <c r="M52" s="2" t="n"/>
      <c r="N52" s="2" t="n"/>
    </row>
    <row r="53">
      <c r="B53" s="26" t="inlineStr">
        <is>
          <t>11(258)</t>
        </is>
      </c>
      <c r="C53" s="21" t="inlineStr">
        <is>
          <t>郡司</t>
        </is>
      </c>
      <c r="D53" s="35" t="n"/>
      <c r="E53" s="35" t="n"/>
      <c r="F53" s="466" t="n"/>
      <c r="H53" s="350" t="inlineStr">
        <is>
          <t>依頼件数</t>
        </is>
      </c>
      <c r="I53" s="465" t="n"/>
      <c r="J53" s="467" t="n"/>
      <c r="K53" s="354">
        <f t="array" ref="K53">IF(OR(H53="",L53=""),"",IFERROR(_xlfn.LET(_xlpm.vt,VLOOKUP(IFERROR(VALUE(LEFT(H53,FIND("＊",H53&amp;"＊")-1)),H53),運賃マスター!$A$22:$B$40,2,FALSE),_xlpm.d,L53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3" s="2" t="n"/>
      <c r="M53" s="2" t="n"/>
      <c r="N53" s="2" t="n"/>
    </row>
    <row r="54" ht="14.25" customHeight="1" s="462" thickBot="1">
      <c r="B54" s="26" t="inlineStr">
        <is>
          <t>12(736)</t>
        </is>
      </c>
      <c r="C54" s="21" t="n"/>
      <c r="D54" s="35" t="n"/>
      <c r="E54" s="35" t="n"/>
      <c r="F54" s="466" t="n"/>
      <c r="H54" s="468" t="n"/>
      <c r="I54" s="477" t="n"/>
      <c r="J54" s="469" t="n"/>
      <c r="K54" s="472" t="n"/>
      <c r="L54" s="2" t="n"/>
      <c r="M54" s="2" t="n"/>
      <c r="N54" s="2" t="n"/>
    </row>
    <row r="55" ht="16.5" customHeight="1" s="462">
      <c r="B55" s="26" t="inlineStr">
        <is>
          <t>13(737)</t>
        </is>
      </c>
      <c r="C55" s="21" t="n"/>
      <c r="D55" s="35" t="n"/>
      <c r="E55" s="35" t="n"/>
      <c r="F55" s="466" t="n"/>
      <c r="H55" s="38" t="n"/>
      <c r="I55" s="38" t="n"/>
      <c r="J55" s="38" t="n"/>
      <c r="K55" s="39">
        <f t="array" ref="K55">IF(OR(H55="",L55=""),"",IFERROR(_xlfn.LET(_xlpm.vt,VLOOKUP(IFERROR(VALUE(LEFT(H55,FIND("＊",H55&amp;"＊")-1)),H55),運賃マスター!$A$22:$B$40,2,FALSE),_xlpm.d,L55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5" s="2" t="n"/>
      <c r="M55" s="2" t="n"/>
      <c r="N55" s="2" t="n"/>
    </row>
    <row r="56" ht="16.5" customHeight="1" s="462">
      <c r="B56" s="40" t="inlineStr">
        <is>
          <t>14(738)</t>
        </is>
      </c>
      <c r="C56" s="21" t="inlineStr">
        <is>
          <t>辻井</t>
        </is>
      </c>
      <c r="D56" s="35" t="n"/>
      <c r="E56" s="35" t="n"/>
      <c r="F56" s="466" t="n"/>
      <c r="H56" s="38" t="n"/>
      <c r="I56" s="38" t="n"/>
      <c r="J56" s="38" t="n"/>
      <c r="K56" s="39" t="n"/>
      <c r="L56" s="2" t="n"/>
      <c r="M56" s="2" t="n"/>
      <c r="N56" s="2" t="n"/>
    </row>
    <row r="57" ht="8.25" customHeight="1" s="462">
      <c r="B57" s="41" t="n"/>
      <c r="C57" s="42" t="n"/>
      <c r="D57" s="43" t="n"/>
      <c r="E57" s="44" t="n"/>
      <c r="F57" s="349" t="n"/>
      <c r="H57" s="38" t="n"/>
      <c r="I57" s="38" t="n"/>
      <c r="J57" s="38" t="n"/>
      <c r="K57" s="39" t="n"/>
      <c r="L57" s="2" t="n"/>
      <c r="M57" s="2" t="n"/>
      <c r="N57" s="2" t="n"/>
    </row>
    <row r="58" ht="17.25" customHeight="1" s="462">
      <c r="B58" s="45" t="n">
        <v>7290</v>
      </c>
      <c r="C58" s="21" t="inlineStr">
        <is>
          <t>佐藤</t>
        </is>
      </c>
      <c r="D58" s="35" t="n"/>
      <c r="E58" s="348" t="n"/>
      <c r="F58" s="349" t="n"/>
      <c r="H58" s="38" t="n"/>
      <c r="I58" s="38" t="n"/>
      <c r="J58" s="38" t="n"/>
      <c r="K58" s="39" t="n"/>
      <c r="L58" s="2" t="n"/>
      <c r="M58" s="2" t="n"/>
      <c r="N58" s="2" t="n"/>
    </row>
    <row r="59" ht="17.25" customHeight="1" s="462">
      <c r="B59" s="45" t="n">
        <v>7291</v>
      </c>
      <c r="C59" s="21" t="inlineStr">
        <is>
          <t>末次</t>
        </is>
      </c>
      <c r="D59" s="35" t="n"/>
      <c r="E59" s="348" t="n"/>
      <c r="F59" s="349" t="n"/>
      <c r="H59" s="38" t="n"/>
      <c r="I59" s="38" t="n"/>
      <c r="J59" s="38" t="n"/>
      <c r="K59" s="39" t="n"/>
      <c r="L59" s="2" t="n"/>
      <c r="M59" s="2" t="n"/>
      <c r="N59" s="2" t="n"/>
    </row>
    <row r="60" ht="9" customHeight="1" s="462">
      <c r="B60" s="41" t="n"/>
      <c r="C60" s="42" t="n"/>
      <c r="D60" s="44" t="n"/>
      <c r="E60" s="44" t="n"/>
      <c r="F60" s="349" t="n"/>
      <c r="H60" s="38" t="n"/>
      <c r="I60" s="38" t="n"/>
      <c r="J60" s="38" t="n"/>
      <c r="K60" s="39" t="n"/>
      <c r="L60" s="2" t="n"/>
      <c r="M60" s="2" t="n"/>
      <c r="N60" s="2" t="n"/>
    </row>
    <row r="61" ht="16.5" customHeight="1" s="462">
      <c r="B61" s="45" t="n">
        <v>333</v>
      </c>
      <c r="C61" s="21" t="inlineStr">
        <is>
          <t>金井/奥田</t>
        </is>
      </c>
      <c r="D61" s="35" t="n"/>
      <c r="E61" s="484" t="n"/>
      <c r="F61" s="469" t="n"/>
      <c r="H61" s="38" t="n"/>
      <c r="I61" s="38" t="n"/>
      <c r="J61" s="38" t="n"/>
      <c r="K61" s="39" t="n"/>
      <c r="L61" s="2" t="n"/>
      <c r="M61" s="2" t="n"/>
      <c r="N61" s="2" t="n"/>
    </row>
    <row r="62" ht="16.5" customHeight="1" s="462">
      <c r="B62" s="46" t="n">
        <v>666</v>
      </c>
      <c r="C62" s="21" t="inlineStr">
        <is>
          <t>徳留</t>
        </is>
      </c>
      <c r="D62" s="35" t="n"/>
      <c r="E62" s="35" t="n"/>
      <c r="F62" s="466" t="n"/>
      <c r="H62" s="38" t="n"/>
      <c r="I62" s="38" t="n"/>
      <c r="J62" s="38" t="n"/>
      <c r="K62" s="39" t="n"/>
      <c r="L62" s="2" t="n"/>
      <c r="M62" s="2" t="n"/>
      <c r="N62" s="2" t="n"/>
    </row>
    <row r="63" ht="16.5" customHeight="1" s="462">
      <c r="B63" s="46" t="n">
        <v>777</v>
      </c>
      <c r="C63" s="21" t="n"/>
      <c r="D63" s="35" t="n"/>
      <c r="E63" s="348" t="n"/>
      <c r="F63" s="349" t="n"/>
      <c r="H63" s="38" t="n"/>
      <c r="I63" s="38" t="n"/>
      <c r="J63" s="38" t="n"/>
      <c r="K63" s="39" t="n"/>
      <c r="L63" s="2" t="n"/>
      <c r="M63" s="2" t="n"/>
      <c r="N63" s="2" t="n"/>
    </row>
    <row r="64" ht="16.5" customHeight="1" s="462">
      <c r="B64" s="47" t="n">
        <v>330</v>
      </c>
      <c r="C64" s="21" t="n"/>
      <c r="D64" s="35" t="n"/>
      <c r="E64" s="35" t="n"/>
      <c r="F64" s="466" t="n"/>
      <c r="H64" s="38" t="n"/>
      <c r="I64" s="38" t="n"/>
      <c r="J64" s="38" t="n"/>
      <c r="K64" s="39" t="n"/>
      <c r="L64" s="2" t="n"/>
      <c r="M64" s="2" t="n"/>
      <c r="N64" s="2" t="n"/>
    </row>
    <row r="65" ht="16.5" customHeight="1" s="462">
      <c r="B65" s="47" t="n">
        <v>990</v>
      </c>
      <c r="C65" s="21" t="inlineStr">
        <is>
          <t>山原</t>
        </is>
      </c>
      <c r="D65" s="35" t="n"/>
      <c r="E65" s="35" t="n"/>
      <c r="F65" s="466" t="n"/>
      <c r="H65" s="38" t="n"/>
      <c r="I65" s="38" t="n"/>
      <c r="J65" s="38" t="n"/>
      <c r="K65" s="39" t="n"/>
      <c r="L65" s="2" t="n"/>
      <c r="M65" s="2" t="n"/>
      <c r="N65" s="2" t="n"/>
    </row>
    <row r="66">
      <c r="L66" s="2" t="n"/>
      <c r="M66" s="2" t="n"/>
      <c r="N66" s="2" t="n"/>
    </row>
    <row r="67">
      <c r="C67" s="449" t="inlineStr">
        <is>
          <t>出発→到着</t>
        </is>
      </c>
      <c r="D67" s="420" t="inlineStr">
        <is>
          <t>備考</t>
        </is>
      </c>
      <c r="L67" s="2" t="n"/>
      <c r="M67" s="2" t="n"/>
      <c r="N67" s="2" t="n"/>
    </row>
    <row r="68">
      <c r="B68" s="27" t="inlineStr">
        <is>
          <t>①</t>
        </is>
      </c>
      <c r="C68" s="449" t="inlineStr">
        <is>
          <t>東→西</t>
        </is>
      </c>
      <c r="D68" s="485" t="inlineStr">
        <is>
          <t>①Aチーム優先</t>
        </is>
      </c>
      <c r="E68" s="486" t="n"/>
      <c r="F68" s="486" t="n"/>
      <c r="G68" s="486" t="n"/>
      <c r="H68" s="486" t="n"/>
      <c r="I68" s="486" t="n"/>
      <c r="J68" s="466" t="n"/>
      <c r="L68" s="2" t="n"/>
      <c r="M68" s="2" t="n"/>
      <c r="N68" s="2" t="n"/>
    </row>
    <row r="69">
      <c r="B69" s="27" t="inlineStr">
        <is>
          <t>②</t>
        </is>
      </c>
      <c r="C69" s="449" t="inlineStr">
        <is>
          <t>東→東</t>
        </is>
      </c>
      <c r="D69" s="485" t="inlineStr">
        <is>
          <t>②急ぎ案件の場合、道路状況も伝えてあげる。</t>
        </is>
      </c>
      <c r="E69" s="486" t="n"/>
      <c r="F69" s="486" t="n"/>
      <c r="G69" s="486" t="n"/>
      <c r="H69" s="486" t="n"/>
      <c r="I69" s="486" t="n"/>
      <c r="J69" s="466" t="n"/>
      <c r="L69" s="2" t="n"/>
      <c r="M69" s="2" t="n"/>
      <c r="N69" s="2" t="n"/>
    </row>
    <row r="70">
      <c r="B70" s="27" t="inlineStr">
        <is>
          <t>③</t>
        </is>
      </c>
      <c r="C70" s="449" t="inlineStr">
        <is>
          <t>西→東</t>
        </is>
      </c>
      <c r="D70" s="485" t="inlineStr">
        <is>
          <t>③各ドライバーの位置からの帰社のタイミング・夕方の配置</t>
        </is>
      </c>
      <c r="E70" s="486" t="n"/>
      <c r="F70" s="486" t="n"/>
      <c r="G70" s="486" t="n"/>
      <c r="H70" s="486" t="n"/>
      <c r="I70" s="486" t="n"/>
      <c r="J70" s="466" t="n"/>
      <c r="L70" s="2" t="n"/>
      <c r="M70" s="2" t="n"/>
      <c r="N70" s="2" t="n"/>
    </row>
    <row r="71">
      <c r="B71" s="27" t="inlineStr">
        <is>
          <t>④</t>
        </is>
      </c>
      <c r="C71" s="449" t="inlineStr">
        <is>
          <t>西→西</t>
        </is>
      </c>
      <c r="D71" s="485" t="inlineStr">
        <is>
          <t>④依頼を受ける際の、希望時間と現状の位置。行けるか行けないかの判断をしっかりと。</t>
        </is>
      </c>
      <c r="E71" s="486" t="n"/>
      <c r="F71" s="486" t="n"/>
      <c r="G71" s="486" t="n"/>
      <c r="H71" s="486" t="n"/>
      <c r="I71" s="486" t="n"/>
      <c r="J71" s="466" t="n"/>
      <c r="L71" s="2" t="n"/>
      <c r="M71" s="2" t="n"/>
      <c r="N71" s="2" t="n"/>
    </row>
    <row r="72">
      <c r="D72" s="485" t="inlineStr">
        <is>
          <t>⑤軽に乗るか乗らないかの判断に気を付ける。</t>
        </is>
      </c>
      <c r="E72" s="486" t="n"/>
      <c r="F72" s="486" t="n"/>
      <c r="G72" s="486" t="n"/>
      <c r="H72" s="486" t="n"/>
      <c r="I72" s="486" t="n"/>
      <c r="J72" s="466" t="n"/>
      <c r="L72" s="2" t="n"/>
      <c r="M72" s="2" t="n"/>
      <c r="N72" s="2" t="n"/>
    </row>
    <row r="73">
      <c r="B73" s="22" t="n"/>
      <c r="C73" s="420" t="inlineStr">
        <is>
          <t>現状配置(予測)</t>
        </is>
      </c>
      <c r="D73" s="485" t="inlineStr">
        <is>
          <t>⑥18/1日、1.8/1人、3件/1人</t>
        </is>
      </c>
      <c r="E73" s="486" t="n"/>
      <c r="F73" s="486" t="n"/>
      <c r="G73" s="486" t="n"/>
      <c r="H73" s="486" t="n"/>
      <c r="I73" s="486" t="n"/>
      <c r="J73" s="466" t="n"/>
      <c r="L73" s="2" t="n"/>
      <c r="M73" s="2" t="n"/>
      <c r="N73" s="2" t="n"/>
    </row>
    <row r="74">
      <c r="B74" s="420" t="inlineStr">
        <is>
          <t>西(神戸西・弥栄台)</t>
        </is>
      </c>
      <c r="C74" s="420" t="n"/>
      <c r="D74" s="485" t="inlineStr">
        <is>
          <t>⑦依頼書の見落とし(日付、入替、入出庫、場所）</t>
        </is>
      </c>
      <c r="E74" s="486" t="n"/>
      <c r="F74" s="486" t="n"/>
      <c r="G74" s="486" t="n"/>
      <c r="H74" s="486" t="n"/>
      <c r="I74" s="486" t="n"/>
      <c r="J74" s="466" t="n"/>
      <c r="L74" s="2" t="n"/>
      <c r="M74" s="2" t="n"/>
      <c r="N74" s="2" t="n"/>
    </row>
    <row r="75">
      <c r="B75" s="420" t="inlineStr">
        <is>
          <t>真ん中(摩耶・中央)</t>
        </is>
      </c>
      <c r="C75" s="420" t="n"/>
      <c r="D75" s="485" t="inlineStr">
        <is>
          <t>⑧3ｔ車と2ｔ車への振り方(西と東に振り分ける)</t>
        </is>
      </c>
      <c r="E75" s="486" t="n"/>
      <c r="F75" s="486" t="n"/>
      <c r="G75" s="486" t="n"/>
      <c r="H75" s="486" t="n"/>
      <c r="I75" s="486" t="n"/>
      <c r="J75" s="466" t="n"/>
      <c r="L75" s="2" t="n"/>
      <c r="M75" s="2" t="n"/>
      <c r="N75" s="2" t="n"/>
    </row>
    <row r="76">
      <c r="B76" s="420" t="inlineStr">
        <is>
          <t>東(尼崎・伊丹・西宮)</t>
        </is>
      </c>
      <c r="C76" s="420" t="n"/>
      <c r="D76" s="485" t="inlineStr">
        <is>
          <t>⑨</t>
        </is>
      </c>
      <c r="E76" s="486" t="n"/>
      <c r="F76" s="486" t="n"/>
      <c r="G76" s="486" t="n"/>
      <c r="H76" s="486" t="n"/>
      <c r="I76" s="486" t="n"/>
      <c r="J76" s="466" t="n"/>
      <c r="L76" s="2" t="n"/>
      <c r="M76" s="2" t="n"/>
      <c r="N76" s="2" t="n"/>
    </row>
    <row r="77">
      <c r="B77" s="48" t="inlineStr">
        <is>
          <t>極東(港区・淀屋橋)</t>
        </is>
      </c>
      <c r="C77" s="420" t="n"/>
      <c r="D77" s="49" t="n"/>
      <c r="E77" s="49" t="n"/>
      <c r="F77" s="49" t="n"/>
      <c r="G77" s="49" t="n"/>
      <c r="H77" s="49" t="n"/>
      <c r="I77" s="49" t="n"/>
      <c r="J77" s="49" t="n"/>
      <c r="L77" s="2" t="n"/>
      <c r="M77" s="2" t="n"/>
      <c r="N77" s="2" t="n"/>
    </row>
    <row r="78" ht="14.25" customHeight="1" s="462" thickBot="1">
      <c r="L78" s="2" t="n"/>
      <c r="M78" s="2" t="n"/>
      <c r="N78" s="2" t="n"/>
    </row>
    <row r="79">
      <c r="C79" s="473" t="inlineStr">
        <is>
          <t>合計額/380</t>
        </is>
      </c>
      <c r="D79" s="358">
        <f>SUM(G79)</f>
        <v/>
      </c>
      <c r="F79" s="360" t="inlineStr">
        <is>
          <t>売り上げ額</t>
        </is>
      </c>
      <c r="G79" s="362">
        <f>SUM(SUM(K4:K46))+SUM(#REF!)</f>
        <v/>
      </c>
      <c r="H79" s="465" t="n"/>
      <c r="I79" s="465" t="n"/>
      <c r="J79" s="467" t="n"/>
      <c r="L79" s="2" t="n"/>
      <c r="M79" s="2" t="n"/>
      <c r="N79" s="2" t="n"/>
    </row>
    <row r="80" ht="14.25" customHeight="1" s="462" thickBot="1">
      <c r="C80" s="474" t="n"/>
      <c r="D80" s="475" t="n"/>
      <c r="F80" s="468" t="n"/>
      <c r="G80" s="476" t="n"/>
      <c r="H80" s="477" t="n"/>
      <c r="I80" s="477" t="n"/>
      <c r="J80" s="469" t="n"/>
      <c r="L80" s="2" t="n"/>
      <c r="M80" s="2" t="n"/>
      <c r="N80" s="2" t="n"/>
    </row>
    <row r="81">
      <c r="C81" s="478" t="inlineStr">
        <is>
          <t>前日までの売上合計額</t>
        </is>
      </c>
      <c r="D81" s="479">
        <f>SUM(B90)</f>
        <v/>
      </c>
      <c r="L81" s="2" t="n"/>
      <c r="M81" s="2" t="n"/>
      <c r="N81" s="2" t="n"/>
    </row>
    <row r="82" ht="14.25" customHeight="1" s="462" thickBot="1">
      <c r="C82" s="480" t="n"/>
      <c r="D82" s="480" t="n"/>
      <c r="F82" s="420" t="inlineStr">
        <is>
          <t>金井（55)</t>
        </is>
      </c>
      <c r="G82" s="345" t="n"/>
      <c r="H82" s="466" t="n"/>
      <c r="I82" s="130" t="n"/>
      <c r="L82" s="2" t="n"/>
      <c r="M82" s="2" t="n"/>
      <c r="N82" s="2" t="n"/>
    </row>
    <row r="83" ht="14.25" customHeight="1" s="462" thickTop="1">
      <c r="D83" s="346">
        <f>D79+D81</f>
        <v/>
      </c>
      <c r="F83" s="420" t="inlineStr">
        <is>
          <t>粟津(55)</t>
        </is>
      </c>
      <c r="G83" s="340" t="n"/>
      <c r="H83" s="466" t="n"/>
      <c r="I83" s="131" t="n"/>
      <c r="L83" s="2" t="n"/>
      <c r="M83" s="2" t="n"/>
      <c r="N83" s="2" t="n"/>
    </row>
    <row r="84">
      <c r="F84" s="420" t="inlineStr">
        <is>
          <t>砂川(50)</t>
        </is>
      </c>
      <c r="G84" s="340" t="n"/>
      <c r="H84" s="466" t="n"/>
      <c r="I84" s="131" t="n"/>
      <c r="L84" s="2" t="n"/>
      <c r="M84" s="2" t="n"/>
      <c r="N84" s="2" t="n"/>
    </row>
    <row r="85">
      <c r="C85" s="2" t="inlineStr">
        <is>
          <t>高代</t>
        </is>
      </c>
      <c r="F85" s="420" t="inlineStr">
        <is>
          <t>前川(50)</t>
        </is>
      </c>
      <c r="G85" s="340" t="n"/>
      <c r="H85" s="466" t="n"/>
      <c r="I85" s="131" t="n"/>
      <c r="L85" s="2" t="n"/>
      <c r="M85" s="2" t="n"/>
      <c r="N85" s="2" t="n"/>
    </row>
    <row r="86">
      <c r="C86" s="2" t="inlineStr">
        <is>
          <t>返還代</t>
        </is>
      </c>
      <c r="F86" s="420" t="inlineStr">
        <is>
          <t>佐藤(50)</t>
        </is>
      </c>
      <c r="G86" s="345" t="n"/>
      <c r="H86" s="466" t="n"/>
      <c r="I86" s="130" t="n"/>
      <c r="L86" s="2" t="n"/>
      <c r="M86" s="2" t="n"/>
      <c r="N86" s="2" t="n"/>
    </row>
    <row r="87">
      <c r="C87" s="2" t="inlineStr">
        <is>
          <t>回収率</t>
        </is>
      </c>
      <c r="D87" s="50">
        <f>D86/D85</f>
        <v/>
      </c>
      <c r="F87" s="420" t="inlineStr">
        <is>
          <t>末次(55)</t>
        </is>
      </c>
      <c r="G87" s="340" t="n"/>
      <c r="H87" s="466" t="n"/>
      <c r="I87" s="131" t="n"/>
      <c r="L87" s="2" t="n"/>
      <c r="M87" s="2" t="n"/>
      <c r="N87" s="2" t="n"/>
    </row>
    <row r="88">
      <c r="C88" s="2" t="inlineStr">
        <is>
          <t>費</t>
        </is>
      </c>
      <c r="D88" s="2">
        <f>D85-D86</f>
        <v/>
      </c>
      <c r="F88" s="420" t="inlineStr">
        <is>
          <t>筒井(75)</t>
        </is>
      </c>
      <c r="G88" s="340" t="n"/>
      <c r="H88" s="466" t="n"/>
      <c r="I88" s="131" t="n"/>
      <c r="L88" s="2" t="n"/>
      <c r="M88" s="2" t="n"/>
      <c r="N88" s="2" t="n"/>
    </row>
    <row r="89">
      <c r="F89" s="420" t="inlineStr">
        <is>
          <t>山岸(40)</t>
        </is>
      </c>
      <c r="G89" s="340" t="n"/>
      <c r="H89" s="466" t="n"/>
      <c r="I89" s="131" t="n"/>
      <c r="L89" s="2" t="n"/>
      <c r="M89" s="2" t="n"/>
      <c r="N89" s="2" t="n"/>
    </row>
    <row r="90" ht="23.25" customHeight="1" s="462">
      <c r="B90" s="71" t="n"/>
      <c r="F90" s="420" t="inlineStr">
        <is>
          <t>多苗(30)</t>
        </is>
      </c>
      <c r="G90" s="340" t="n"/>
      <c r="H90" s="466" t="n"/>
      <c r="I90" s="131" t="n"/>
      <c r="L90" s="2" t="inlineStr">
        <is>
          <t> </t>
        </is>
      </c>
      <c r="M90" s="2" t="n"/>
      <c r="N90" s="2" t="n"/>
    </row>
    <row r="91">
      <c r="L91" s="2" t="n"/>
      <c r="M91" s="2" t="n"/>
      <c r="N91" s="2" t="n"/>
    </row>
    <row r="92">
      <c r="L92" s="2" t="n"/>
      <c r="M92" s="2" t="n"/>
      <c r="N92" s="2" t="n"/>
    </row>
  </sheetData>
  <autoFilter ref="H2:H92"/>
  <mergeCells count="56">
    <mergeCell ref="D71:J71"/>
    <mergeCell ref="E50:F50"/>
    <mergeCell ref="C79:C80"/>
    <mergeCell ref="Q25:R25"/>
    <mergeCell ref="Q3:R3"/>
    <mergeCell ref="E55:F55"/>
    <mergeCell ref="E62:F62"/>
    <mergeCell ref="G86:H86"/>
    <mergeCell ref="D74:J74"/>
    <mergeCell ref="D68:J68"/>
    <mergeCell ref="Q24:R24"/>
    <mergeCell ref="D73:J73"/>
    <mergeCell ref="E52:F52"/>
    <mergeCell ref="H48:J49"/>
    <mergeCell ref="E48:F48"/>
    <mergeCell ref="E64:F64"/>
    <mergeCell ref="K50:K51"/>
    <mergeCell ref="G82:H82"/>
    <mergeCell ref="E51:F51"/>
    <mergeCell ref="B2:C2"/>
    <mergeCell ref="F79:F80"/>
    <mergeCell ref="Q29:R29"/>
    <mergeCell ref="Q5:R5"/>
    <mergeCell ref="H53:J54"/>
    <mergeCell ref="D69:J69"/>
    <mergeCell ref="Q10:R10"/>
    <mergeCell ref="Q26:R26"/>
    <mergeCell ref="H50:J51"/>
    <mergeCell ref="Q4:R4"/>
    <mergeCell ref="E65:F65"/>
    <mergeCell ref="G87:H87"/>
    <mergeCell ref="G83:H83"/>
    <mergeCell ref="K48:K49"/>
    <mergeCell ref="D83:D84"/>
    <mergeCell ref="G79:J80"/>
    <mergeCell ref="E49:F49"/>
    <mergeCell ref="G89:H89"/>
    <mergeCell ref="Q9:R9"/>
    <mergeCell ref="E61:F61"/>
    <mergeCell ref="C81:C82"/>
    <mergeCell ref="Q27:R27"/>
    <mergeCell ref="G88:H88"/>
    <mergeCell ref="D76:J76"/>
    <mergeCell ref="K53:K54"/>
    <mergeCell ref="E54:F54"/>
    <mergeCell ref="D70:J70"/>
    <mergeCell ref="D79:D80"/>
    <mergeCell ref="G85:H85"/>
    <mergeCell ref="Q45:R45"/>
    <mergeCell ref="D75:J75"/>
    <mergeCell ref="G90:H90"/>
    <mergeCell ref="E53:F53"/>
    <mergeCell ref="G84:H84"/>
    <mergeCell ref="D72:J72"/>
    <mergeCell ref="D81:D82"/>
    <mergeCell ref="E56:F56"/>
  </mergeCells>
  <conditionalFormatting sqref="K50:K51">
    <cfRule type="cellIs" priority="6" operator="lessThan" dxfId="7">
      <formula>-90</formula>
    </cfRule>
    <cfRule type="cellIs" priority="7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L3:L45">
    <cfRule type="cellIs" priority="3" operator="greaterThan" dxfId="0">
      <formula>30</formula>
    </cfRule>
  </conditionalFormatting>
  <conditionalFormatting sqref="D5:D29 D31:D38 D40:D53">
    <cfRule type="containsText" priority="8" operator="containsText" dxfId="3" text="～">
      <formula>NOT(ISERROR(SEARCH("～",D5)))</formula>
    </cfRule>
  </conditionalFormatting>
  <conditionalFormatting sqref="D39">
    <cfRule type="containsText" priority="2" operator="containsText" dxfId="3" text="～">
      <formula>NOT(ISERROR(SEARCH("～",D39)))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30.xml><?xml version="1.0" encoding="utf-8"?>
<worksheet xmlns="http://schemas.openxmlformats.org/spreadsheetml/2006/main">
  <sheetPr codeName="Sheet30">
    <tabColor rgb="FF00B0F0"/>
    <outlinePr summaryBelow="1" summaryRight="1"/>
    <pageSetUpPr fitToPage="1"/>
  </sheetPr>
  <dimension ref="A1:R65"/>
  <sheetViews>
    <sheetView zoomScaleNormal="100" workbookViewId="0">
      <selection activeCell="F13" sqref="F13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79" min="8" max="9"/>
    <col width="6.625" customWidth="1" style="2" min="10" max="11"/>
    <col width="20.25" customWidth="1" style="77" min="12" max="12"/>
    <col width="8.75" customWidth="1" style="2" min="13" max="16384"/>
  </cols>
  <sheetData>
    <row r="1"/>
    <row r="2" ht="15" customHeight="1" s="462" thickBot="1">
      <c r="B2" s="496" t="n">
        <v>46189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4" t="n"/>
      <c r="D9" s="441" t="n"/>
      <c r="E9" s="63" t="n"/>
      <c r="F9" s="441" t="n"/>
      <c r="G9" s="59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64" t="n"/>
      <c r="E12" s="420" t="n"/>
      <c r="F12" s="57" t="n"/>
      <c r="G12" s="66" t="n"/>
      <c r="H12" s="74" t="n"/>
      <c r="I12" s="74" t="n"/>
      <c r="J12" s="420" t="n"/>
      <c r="K12" s="73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</row>
    <row r="13" ht="27" customHeight="1" s="462">
      <c r="A13" s="423">
        <f>IF(B13="","",COUNTA($B$5:B13))</f>
        <v/>
      </c>
      <c r="B13" s="57" t="n"/>
      <c r="C13" s="420" t="n"/>
      <c r="D13" s="63" t="n"/>
      <c r="E13" s="441" t="n"/>
      <c r="F13" s="57" t="n"/>
      <c r="G13" s="65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</row>
    <row r="14" ht="27" customHeight="1" s="462">
      <c r="A14" s="423">
        <f>IF(B14="","",COUNTA($B$5:B14))</f>
        <v/>
      </c>
      <c r="B14" s="441" t="n"/>
      <c r="C14" s="440" t="n"/>
      <c r="D14" s="441" t="n"/>
      <c r="E14" s="440" t="n"/>
      <c r="F14" s="57" t="n"/>
      <c r="G14" s="65" t="n"/>
      <c r="H14" s="74" t="n"/>
      <c r="I14" s="74" t="n"/>
      <c r="J14" s="420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</row>
    <row r="15" ht="27" customHeight="1" s="462">
      <c r="A15" s="423">
        <f>IF(B15="","",COUNTA($B$5:B15))</f>
        <v/>
      </c>
      <c r="B15" s="441" t="n"/>
      <c r="C15" s="63" t="n"/>
      <c r="D15" s="440" t="n"/>
      <c r="E15" s="441" t="n"/>
      <c r="F15" s="57" t="n"/>
      <c r="G15" s="59" t="n"/>
      <c r="H15" s="60" t="n"/>
      <c r="I15" s="60" t="n"/>
      <c r="J15" s="57" t="n"/>
      <c r="K15" s="73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</row>
    <row r="16" ht="27" customHeight="1" s="462">
      <c r="A16" s="423">
        <f>IF(B16="","",COUNTA($B$5:B16))</f>
        <v/>
      </c>
      <c r="B16" s="441" t="n"/>
      <c r="C16" s="63" t="n"/>
      <c r="D16" s="440" t="n"/>
      <c r="E16" s="441" t="n"/>
      <c r="F16" s="57" t="n"/>
      <c r="G16" s="59" t="n"/>
      <c r="H16" s="60" t="n"/>
      <c r="I16" s="60" t="n"/>
      <c r="J16" s="57" t="n"/>
      <c r="K16" s="73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441" t="n"/>
      <c r="C17" s="63" t="n"/>
      <c r="D17" s="440" t="n"/>
      <c r="E17" s="441" t="n"/>
      <c r="F17" s="57" t="n"/>
      <c r="G17" s="59" t="n"/>
      <c r="H17" s="60" t="n"/>
      <c r="I17" s="60" t="n"/>
      <c r="J17" s="57" t="n"/>
      <c r="K17" s="73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.75" customHeight="1" s="462">
      <c r="A18" s="423">
        <f>IF(B18="","",COUNTA($B$5:B18))</f>
        <v/>
      </c>
      <c r="B18" s="420" t="n"/>
      <c r="C18" s="420" t="n"/>
      <c r="D18" s="420" t="n"/>
      <c r="E18" s="420" t="n"/>
      <c r="F18" s="420" t="n"/>
      <c r="G18" s="69" t="n"/>
      <c r="H18" s="70" t="n"/>
      <c r="I18" s="70" t="n"/>
      <c r="J18" s="420" t="n"/>
      <c r="K18" s="2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</row>
    <row r="19" ht="27" customHeight="1" s="462">
      <c r="B19" s="18" t="n"/>
      <c r="C19" s="18" t="n"/>
      <c r="D19" s="18" t="n"/>
      <c r="E19" s="18" t="n"/>
      <c r="F19" s="18" t="n"/>
      <c r="G19" s="19" t="n"/>
      <c r="H19" s="33" t="n"/>
      <c r="I19" s="18" t="n"/>
      <c r="J19" s="18" t="n"/>
      <c r="K19" s="18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2" t="n"/>
    </row>
    <row r="20" ht="27" customHeight="1" s="462" thickBot="1">
      <c r="H20" s="2" t="n"/>
      <c r="I20" s="2" t="n"/>
      <c r="K20" s="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2" t="n"/>
    </row>
    <row r="21" ht="27" customHeight="1" s="462">
      <c r="B21" s="22" t="n"/>
      <c r="C21" s="25" t="n"/>
      <c r="D21" s="25" t="inlineStr">
        <is>
          <t>現在待機場所</t>
        </is>
      </c>
      <c r="E21" s="25" t="inlineStr">
        <is>
          <t>待機予定場所</t>
        </is>
      </c>
      <c r="F21" s="466" t="n"/>
      <c r="H21" s="375" t="inlineStr">
        <is>
          <t>目標距離</t>
        </is>
      </c>
      <c r="I21" s="465" t="n"/>
      <c r="J21" s="467" t="n"/>
      <c r="K21" s="377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2" t="n"/>
    </row>
    <row r="22" ht="27" customHeight="1" s="462" thickBot="1">
      <c r="B22" s="26" t="inlineStr">
        <is>
          <t>2(255)</t>
        </is>
      </c>
      <c r="C22" s="21" t="inlineStr">
        <is>
          <t>山岸</t>
        </is>
      </c>
      <c r="D22" s="34" t="n"/>
      <c r="E22" s="34" t="n"/>
      <c r="F22" s="466" t="n"/>
      <c r="H22" s="468" t="n"/>
      <c r="I22" s="477" t="n"/>
      <c r="J22" s="469" t="n"/>
      <c r="K22" s="470" t="n"/>
      <c r="L22" s="2" t="n"/>
    </row>
    <row r="23">
      <c r="B23" s="26" t="inlineStr">
        <is>
          <t>8(254)</t>
        </is>
      </c>
      <c r="C23" s="21" t="inlineStr">
        <is>
          <t>砂川</t>
        </is>
      </c>
      <c r="D23" s="35" t="n"/>
      <c r="E23" s="35" t="n"/>
      <c r="F23" s="466" t="n"/>
      <c r="H23" s="368" t="inlineStr">
        <is>
          <t>残距離</t>
        </is>
      </c>
      <c r="J23" s="471" t="n"/>
      <c r="K23" s="354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2" t="n"/>
    </row>
    <row r="24" ht="14.25" customHeight="1" s="462" thickBot="1">
      <c r="B24" s="26" t="inlineStr">
        <is>
          <t>9(256)</t>
        </is>
      </c>
      <c r="C24" s="21" t="inlineStr">
        <is>
          <t>前川</t>
        </is>
      </c>
      <c r="D24" s="35" t="n"/>
      <c r="E24" s="35" t="n"/>
      <c r="F24" s="466" t="n"/>
      <c r="H24" s="468" t="n"/>
      <c r="I24" s="477" t="n"/>
      <c r="J24" s="469" t="n"/>
      <c r="K24" s="472" t="n"/>
      <c r="L24" s="2" t="n"/>
    </row>
    <row r="25" ht="14.25" customHeight="1" s="462" thickBot="1">
      <c r="B25" s="26" t="inlineStr">
        <is>
          <t>10(257)</t>
        </is>
      </c>
      <c r="C25" s="35" t="n"/>
      <c r="D25" s="35" t="n"/>
      <c r="E25" s="35" t="n"/>
      <c r="F25" s="466" t="n"/>
      <c r="H25" s="2" t="n"/>
      <c r="I25" s="2" t="n"/>
      <c r="K25" s="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2" t="n"/>
    </row>
    <row r="26">
      <c r="B26" s="26" t="inlineStr">
        <is>
          <t>11(258)</t>
        </is>
      </c>
      <c r="C26" s="21" t="inlineStr">
        <is>
          <t>郡司</t>
        </is>
      </c>
      <c r="D26" s="35" t="n"/>
      <c r="E26" s="35" t="n"/>
      <c r="F26" s="466" t="n"/>
      <c r="H26" s="350" t="inlineStr">
        <is>
          <t>依頼件数</t>
        </is>
      </c>
      <c r="I26" s="465" t="n"/>
      <c r="J26" s="467" t="n"/>
      <c r="K26" s="354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2" t="n"/>
    </row>
    <row r="27" ht="14.25" customHeight="1" s="462" thickBot="1">
      <c r="B27" s="26" t="inlineStr">
        <is>
          <t>12(736)</t>
        </is>
      </c>
      <c r="C27" s="21" t="n"/>
      <c r="D27" s="35" t="n"/>
      <c r="E27" s="35" t="n"/>
      <c r="F27" s="466" t="n"/>
      <c r="H27" s="468" t="n"/>
      <c r="I27" s="477" t="n"/>
      <c r="J27" s="469" t="n"/>
      <c r="K27" s="472" t="n"/>
      <c r="L27" s="2" t="n"/>
    </row>
    <row r="28" ht="17.25" customHeight="1" s="462">
      <c r="B28" s="26" t="inlineStr">
        <is>
          <t>13(737)</t>
        </is>
      </c>
      <c r="C28" s="21" t="n"/>
      <c r="D28" s="35" t="n"/>
      <c r="E28" s="35" t="n"/>
      <c r="F28" s="466" t="n"/>
      <c r="H28" s="38" t="n"/>
      <c r="I28" s="38" t="n"/>
      <c r="J28" s="38" t="n"/>
      <c r="K28" s="39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2" t="n"/>
    </row>
    <row r="29" ht="17.25" customHeight="1" s="462">
      <c r="B29" s="40" t="inlineStr">
        <is>
          <t>14(738)</t>
        </is>
      </c>
      <c r="C29" s="21" t="inlineStr">
        <is>
          <t>辻井</t>
        </is>
      </c>
      <c r="D29" s="35" t="n"/>
      <c r="E29" s="35" t="n"/>
      <c r="F29" s="466" t="n"/>
      <c r="H29" s="38" t="n"/>
      <c r="I29" s="38" t="n"/>
      <c r="J29" s="38" t="n"/>
      <c r="K29" s="39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2" t="n"/>
    </row>
    <row r="30" ht="17.25" customHeight="1" s="462">
      <c r="B30" s="41" t="n"/>
      <c r="C30" s="42" t="n"/>
      <c r="D30" s="43" t="n"/>
      <c r="E30" s="44" t="n"/>
      <c r="F30" s="349" t="n"/>
      <c r="H30" s="38" t="n"/>
      <c r="I30" s="38" t="n"/>
      <c r="J30" s="38" t="n"/>
      <c r="K30" s="39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2" t="n"/>
    </row>
    <row r="31" ht="17.25" customHeight="1" s="462">
      <c r="B31" s="45" t="n">
        <v>7290</v>
      </c>
      <c r="C31" s="21" t="inlineStr">
        <is>
          <t>佐藤</t>
        </is>
      </c>
      <c r="D31" s="35" t="n"/>
      <c r="E31" s="348" t="n"/>
      <c r="F31" s="349" t="n"/>
      <c r="H31" s="38" t="n"/>
      <c r="I31" s="38" t="n"/>
      <c r="J31" s="38" t="n"/>
      <c r="K31" s="39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2" t="n"/>
    </row>
    <row r="32" ht="16.5" customHeight="1" s="462">
      <c r="B32" s="45" t="n">
        <v>7291</v>
      </c>
      <c r="C32" s="21" t="inlineStr">
        <is>
          <t>末次</t>
        </is>
      </c>
      <c r="D32" s="35" t="n"/>
      <c r="E32" s="348" t="n"/>
      <c r="F32" s="349" t="n"/>
      <c r="H32" s="38" t="n"/>
      <c r="I32" s="38" t="n"/>
      <c r="J32" s="38" t="n"/>
      <c r="K32" s="39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2" t="n"/>
    </row>
    <row r="33" ht="16.5" customHeight="1" s="462">
      <c r="B33" s="41" t="n"/>
      <c r="C33" s="42" t="n"/>
      <c r="D33" s="44" t="n"/>
      <c r="E33" s="44" t="n"/>
      <c r="F33" s="349" t="n"/>
      <c r="H33" s="38" t="n"/>
      <c r="I33" s="38" t="n"/>
      <c r="J33" s="38" t="n"/>
      <c r="K33" s="39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2" t="n"/>
    </row>
    <row r="34" ht="8.25" customHeight="1" s="462">
      <c r="B34" s="45" t="n">
        <v>333</v>
      </c>
      <c r="C34" s="21" t="inlineStr">
        <is>
          <t>金井/奥田</t>
        </is>
      </c>
      <c r="D34" s="35" t="n"/>
      <c r="E34" s="484" t="n"/>
      <c r="F34" s="469" t="n"/>
      <c r="H34" s="38" t="n"/>
      <c r="I34" s="38" t="n"/>
      <c r="J34" s="38" t="n"/>
      <c r="K34" s="39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2" t="n"/>
    </row>
    <row r="35" ht="17.25" customHeight="1" s="462">
      <c r="B35" s="46" t="n">
        <v>666</v>
      </c>
      <c r="C35" s="21" t="inlineStr">
        <is>
          <t>徳留</t>
        </is>
      </c>
      <c r="D35" s="35" t="n"/>
      <c r="E35" s="35" t="n"/>
      <c r="F35" s="466" t="n"/>
      <c r="H35" s="38" t="n"/>
      <c r="I35" s="38" t="n"/>
      <c r="J35" s="38" t="n"/>
      <c r="K35" s="39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2" t="n"/>
    </row>
    <row r="36" ht="17.25" customHeight="1" s="462">
      <c r="B36" s="46" t="n">
        <v>777</v>
      </c>
      <c r="C36" s="21" t="n"/>
      <c r="D36" s="35" t="n"/>
      <c r="E36" s="348" t="n"/>
      <c r="F36" s="349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2" t="n"/>
    </row>
    <row r="37" ht="9" customHeight="1" s="462">
      <c r="B37" s="47" t="n">
        <v>330</v>
      </c>
      <c r="C37" s="21" t="n"/>
      <c r="D37" s="35" t="n"/>
      <c r="E37" s="35" t="n"/>
      <c r="F37" s="466" t="n"/>
      <c r="H37" s="38" t="n"/>
      <c r="I37" s="38" t="n"/>
      <c r="J37" s="38" t="n"/>
      <c r="K37" s="39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2" t="n"/>
    </row>
    <row r="38" ht="16.5" customHeight="1" s="462">
      <c r="B38" s="47" t="n">
        <v>990</v>
      </c>
      <c r="C38" s="21" t="inlineStr">
        <is>
          <t>山原</t>
        </is>
      </c>
      <c r="D38" s="35" t="n"/>
      <c r="E38" s="35" t="n"/>
      <c r="F38" s="466" t="n"/>
      <c r="H38" s="38" t="n"/>
      <c r="I38" s="38" t="n"/>
      <c r="J38" s="38" t="n"/>
      <c r="K38" s="39" t="n"/>
      <c r="L38" s="2" t="n"/>
    </row>
    <row r="39" ht="16.5" customHeight="1" s="462">
      <c r="H39" s="2" t="n"/>
      <c r="I39" s="2" t="n"/>
      <c r="L39" s="2" t="n"/>
    </row>
    <row r="40" ht="16.5" customHeight="1" s="462">
      <c r="C40" s="449" t="inlineStr">
        <is>
          <t>出発→到着</t>
        </is>
      </c>
      <c r="D40" s="420" t="inlineStr">
        <is>
          <t>備考</t>
        </is>
      </c>
      <c r="H40" s="2" t="n"/>
      <c r="I40" s="2" t="n"/>
      <c r="L40" s="2" t="n"/>
    </row>
    <row r="41" ht="16.5" customHeight="1" s="462">
      <c r="B41" s="27" t="inlineStr">
        <is>
          <t>①</t>
        </is>
      </c>
      <c r="C41" s="449" t="inlineStr">
        <is>
          <t>東→西</t>
        </is>
      </c>
      <c r="D41" s="485" t="inlineStr">
        <is>
          <t>①Aチーム優先</t>
        </is>
      </c>
      <c r="E41" s="486" t="n"/>
      <c r="F41" s="486" t="n"/>
      <c r="G41" s="486" t="n"/>
      <c r="H41" s="486" t="n"/>
      <c r="I41" s="486" t="n"/>
      <c r="J41" s="466" t="n"/>
      <c r="L41" s="2" t="n"/>
    </row>
    <row r="42" ht="16.5" customHeight="1" s="462">
      <c r="B42" s="27" t="inlineStr">
        <is>
          <t>②</t>
        </is>
      </c>
      <c r="C42" s="449" t="inlineStr">
        <is>
          <t>東→東</t>
        </is>
      </c>
      <c r="D42" s="485" t="inlineStr">
        <is>
          <t>②急ぎ案件の場合、道路状況も伝えてあげる。</t>
        </is>
      </c>
      <c r="E42" s="486" t="n"/>
      <c r="F42" s="486" t="n"/>
      <c r="G42" s="486" t="n"/>
      <c r="H42" s="486" t="n"/>
      <c r="I42" s="486" t="n"/>
      <c r="J42" s="466" t="n"/>
      <c r="L42" s="2" t="n"/>
    </row>
    <row r="43">
      <c r="B43" s="27" t="inlineStr">
        <is>
          <t>③</t>
        </is>
      </c>
      <c r="C43" s="449" t="inlineStr">
        <is>
          <t>西→東</t>
        </is>
      </c>
      <c r="D43" s="485" t="inlineStr">
        <is>
          <t>③各ドライバーの位置からの帰社のタイミング・夕方の配置</t>
        </is>
      </c>
      <c r="E43" s="486" t="n"/>
      <c r="F43" s="486" t="n"/>
      <c r="G43" s="486" t="n"/>
      <c r="H43" s="486" t="n"/>
      <c r="I43" s="486" t="n"/>
      <c r="J43" s="466" t="n"/>
      <c r="L43" s="2" t="n"/>
    </row>
    <row r="44">
      <c r="B44" s="27" t="inlineStr">
        <is>
          <t>④</t>
        </is>
      </c>
      <c r="C44" s="449" t="inlineStr">
        <is>
          <t>西→西</t>
        </is>
      </c>
      <c r="D44" s="485" t="inlineStr">
        <is>
          <t>④依頼を受ける際の、希望時間と現状の位置。行けるか行けないかの判断をしっかりと。</t>
        </is>
      </c>
      <c r="E44" s="486" t="n"/>
      <c r="F44" s="486" t="n"/>
      <c r="G44" s="486" t="n"/>
      <c r="H44" s="486" t="n"/>
      <c r="I44" s="486" t="n"/>
      <c r="J44" s="466" t="n"/>
      <c r="L44" s="2" t="n"/>
    </row>
    <row r="45">
      <c r="D45" s="485" t="inlineStr">
        <is>
          <t>⑤軽に乗るか乗らないかの判断に気を付ける。</t>
        </is>
      </c>
      <c r="E45" s="486" t="n"/>
      <c r="F45" s="486" t="n"/>
      <c r="G45" s="486" t="n"/>
      <c r="H45" s="486" t="n"/>
      <c r="I45" s="486" t="n"/>
      <c r="J45" s="466" t="n"/>
      <c r="L45" s="2" t="n"/>
    </row>
    <row r="46">
      <c r="B46" s="22" t="n"/>
      <c r="C46" s="420" t="inlineStr">
        <is>
          <t>現状配置(予測)</t>
        </is>
      </c>
      <c r="D46" s="485" t="inlineStr">
        <is>
          <t>⑥18/1日、1.8/1人、3件/1人</t>
        </is>
      </c>
      <c r="E46" s="486" t="n"/>
      <c r="F46" s="486" t="n"/>
      <c r="G46" s="486" t="n"/>
      <c r="H46" s="486" t="n"/>
      <c r="I46" s="486" t="n"/>
      <c r="J46" s="466" t="n"/>
      <c r="L46" s="2" t="n"/>
    </row>
    <row r="47">
      <c r="B47" s="420" t="inlineStr">
        <is>
          <t>西(神戸西・弥栄台)</t>
        </is>
      </c>
      <c r="C47" s="420" t="n"/>
      <c r="D47" s="485" t="inlineStr">
        <is>
          <t>⑦依頼書の見落とし(日付、入替、入出庫、場所）</t>
        </is>
      </c>
      <c r="E47" s="486" t="n"/>
      <c r="F47" s="486" t="n"/>
      <c r="G47" s="486" t="n"/>
      <c r="H47" s="486" t="n"/>
      <c r="I47" s="486" t="n"/>
      <c r="J47" s="466" t="n"/>
      <c r="L47" s="2" t="n"/>
    </row>
    <row r="48">
      <c r="B48" s="420" t="inlineStr">
        <is>
          <t>真ん中(摩耶・中央)</t>
        </is>
      </c>
      <c r="C48" s="420" t="n"/>
      <c r="D48" s="485" t="inlineStr">
        <is>
          <t>⑧3ｔ車と2ｔ車への振り方(西と東に振り分ける)</t>
        </is>
      </c>
      <c r="E48" s="486" t="n"/>
      <c r="F48" s="486" t="n"/>
      <c r="G48" s="486" t="n"/>
      <c r="H48" s="486" t="n"/>
      <c r="I48" s="486" t="n"/>
      <c r="J48" s="466" t="n"/>
      <c r="L48" s="2" t="n"/>
    </row>
    <row r="49">
      <c r="B49" s="420" t="inlineStr">
        <is>
          <t>東(尼崎・伊丹・西宮)</t>
        </is>
      </c>
      <c r="C49" s="420" t="n"/>
      <c r="D49" s="485" t="inlineStr">
        <is>
          <t>⑨</t>
        </is>
      </c>
      <c r="E49" s="486" t="n"/>
      <c r="F49" s="486" t="n"/>
      <c r="G49" s="486" t="n"/>
      <c r="H49" s="486" t="n"/>
      <c r="I49" s="486" t="n"/>
      <c r="J49" s="466" t="n"/>
      <c r="L49" s="2" t="n"/>
    </row>
    <row r="50">
      <c r="B50" s="48" t="inlineStr">
        <is>
          <t>極東(港区・淀屋橋)</t>
        </is>
      </c>
      <c r="C50" s="420" t="n"/>
      <c r="D50" s="49" t="n"/>
      <c r="E50" s="49" t="n"/>
      <c r="F50" s="49" t="n"/>
      <c r="G50" s="49" t="n"/>
      <c r="H50" s="49" t="n"/>
      <c r="I50" s="49" t="n"/>
      <c r="J50" s="49" t="n"/>
      <c r="L50" s="2" t="n"/>
    </row>
    <row r="51" ht="14.25" customHeight="1" s="462" thickBot="1">
      <c r="H51" s="2" t="n"/>
      <c r="I51" s="2" t="n"/>
      <c r="L51" s="2" t="n"/>
    </row>
    <row r="52">
      <c r="C52" s="473" t="inlineStr">
        <is>
          <t>合計額/380</t>
        </is>
      </c>
      <c r="D52" s="358">
        <f>SUM(G52)</f>
        <v/>
      </c>
      <c r="F52" s="360" t="inlineStr">
        <is>
          <t>売り上げ額</t>
        </is>
      </c>
      <c r="G52" s="362">
        <f>SUM(SUM(K4:K18))+SUM(#REF!)</f>
        <v/>
      </c>
      <c r="H52" s="465" t="n"/>
      <c r="I52" s="465" t="n"/>
      <c r="J52" s="467" t="n"/>
      <c r="L52" s="2" t="n"/>
    </row>
    <row r="53" ht="14.25" customHeight="1" s="462" thickBot="1">
      <c r="C53" s="474" t="n"/>
      <c r="D53" s="475" t="n"/>
      <c r="F53" s="468" t="n"/>
      <c r="G53" s="476" t="n"/>
      <c r="H53" s="477" t="n"/>
      <c r="I53" s="477" t="n"/>
      <c r="J53" s="469" t="n"/>
      <c r="L53" s="2" t="n"/>
    </row>
    <row r="54">
      <c r="C54" s="478" t="inlineStr">
        <is>
          <t>前日までの売上合計額</t>
        </is>
      </c>
      <c r="D54" s="479">
        <f>SUM(B63)</f>
        <v/>
      </c>
      <c r="H54" s="2" t="n"/>
      <c r="I54" s="2" t="n"/>
      <c r="L54" s="2" t="n"/>
    </row>
    <row r="55" ht="14.25" customHeight="1" s="462" thickBot="1">
      <c r="C55" s="480" t="n"/>
      <c r="D55" s="480" t="n"/>
      <c r="F55" s="420" t="inlineStr">
        <is>
          <t>金井（55)</t>
        </is>
      </c>
      <c r="G55" s="345" t="n"/>
      <c r="H55" s="466" t="n"/>
      <c r="I55" s="130" t="n"/>
      <c r="L55" s="2" t="n"/>
    </row>
    <row r="56" ht="14.25" customHeight="1" s="462" thickTop="1">
      <c r="D56" s="346">
        <f>D52+D54</f>
        <v/>
      </c>
      <c r="F56" s="420" t="inlineStr">
        <is>
          <t>粟津(55)</t>
        </is>
      </c>
      <c r="G56" s="340" t="n"/>
      <c r="H56" s="466" t="n"/>
      <c r="I56" s="131" t="n"/>
      <c r="L56" s="2" t="n"/>
    </row>
    <row r="57">
      <c r="F57" s="420" t="inlineStr">
        <is>
          <t>砂川(50)</t>
        </is>
      </c>
      <c r="G57" s="340" t="n"/>
      <c r="H57" s="466" t="n"/>
      <c r="I57" s="131" t="n"/>
      <c r="L57" s="2" t="n"/>
    </row>
    <row r="58">
      <c r="C58" s="2" t="inlineStr">
        <is>
          <t>高代</t>
        </is>
      </c>
      <c r="F58" s="420" t="inlineStr">
        <is>
          <t>前川(50)</t>
        </is>
      </c>
      <c r="G58" s="340" t="n"/>
      <c r="H58" s="466" t="n"/>
      <c r="I58" s="131" t="n"/>
      <c r="L58" s="2" t="n"/>
    </row>
    <row r="59">
      <c r="C59" s="2" t="inlineStr">
        <is>
          <t>返還代</t>
        </is>
      </c>
      <c r="F59" s="420" t="inlineStr">
        <is>
          <t>佐藤(50)</t>
        </is>
      </c>
      <c r="G59" s="345" t="n"/>
      <c r="H59" s="466" t="n"/>
      <c r="I59" s="130" t="n"/>
      <c r="L59" s="2" t="n"/>
    </row>
    <row r="60">
      <c r="C60" s="2" t="inlineStr">
        <is>
          <t>回収率</t>
        </is>
      </c>
      <c r="D60" s="50">
        <f>D59/D58</f>
        <v/>
      </c>
      <c r="F60" s="420" t="inlineStr">
        <is>
          <t>末次(55)</t>
        </is>
      </c>
      <c r="G60" s="340" t="n"/>
      <c r="H60" s="466" t="n"/>
      <c r="I60" s="131" t="n"/>
      <c r="L60" s="2" t="n"/>
    </row>
    <row r="61">
      <c r="C61" s="2" t="inlineStr">
        <is>
          <t>費</t>
        </is>
      </c>
      <c r="D61" s="2">
        <f>D58-D59</f>
        <v/>
      </c>
      <c r="F61" s="420" t="inlineStr">
        <is>
          <t>筒井(75)</t>
        </is>
      </c>
      <c r="G61" s="340" t="n"/>
      <c r="H61" s="466" t="n"/>
      <c r="I61" s="131" t="n"/>
      <c r="L61" s="2" t="n"/>
    </row>
    <row r="62">
      <c r="F62" s="420" t="inlineStr">
        <is>
          <t>山岸(40)</t>
        </is>
      </c>
      <c r="G62" s="340" t="n"/>
      <c r="H62" s="466" t="n"/>
      <c r="I62" s="131" t="n"/>
      <c r="L62" s="2" t="n"/>
    </row>
    <row r="63" ht="17.25" customHeight="1" s="462">
      <c r="B63" s="71" t="n"/>
      <c r="F63" s="420" t="inlineStr">
        <is>
          <t>多苗(30)</t>
        </is>
      </c>
      <c r="G63" s="340" t="n"/>
      <c r="H63" s="466" t="n"/>
      <c r="I63" s="131" t="n"/>
      <c r="L63" s="2" t="inlineStr">
        <is>
          <t> </t>
        </is>
      </c>
    </row>
    <row r="64">
      <c r="H64" s="2" t="n"/>
      <c r="I64" s="2" t="n"/>
      <c r="L64" s="2" t="n"/>
    </row>
    <row r="65">
      <c r="H65" s="2" t="n"/>
      <c r="I65" s="2" t="n"/>
      <c r="L65" s="2" t="n"/>
    </row>
    <row r="67" ht="23.25" customHeight="1" s="462"/>
  </sheetData>
  <mergeCells count="53">
    <mergeCell ref="Q13:R13"/>
    <mergeCell ref="G59:H59"/>
    <mergeCell ref="G52:J53"/>
    <mergeCell ref="Q3:R3"/>
    <mergeCell ref="K21:K22"/>
    <mergeCell ref="E24:F24"/>
    <mergeCell ref="Q12:R12"/>
    <mergeCell ref="K26:K27"/>
    <mergeCell ref="D52:D53"/>
    <mergeCell ref="E23:F23"/>
    <mergeCell ref="Q18:R18"/>
    <mergeCell ref="D42:J42"/>
    <mergeCell ref="G61:H61"/>
    <mergeCell ref="C54:C55"/>
    <mergeCell ref="H23:J24"/>
    <mergeCell ref="E35:F35"/>
    <mergeCell ref="B2:C2"/>
    <mergeCell ref="E38:F38"/>
    <mergeCell ref="E29:F29"/>
    <mergeCell ref="D44:J44"/>
    <mergeCell ref="Q5:R5"/>
    <mergeCell ref="H26:J27"/>
    <mergeCell ref="D56:D57"/>
    <mergeCell ref="Q14:R14"/>
    <mergeCell ref="E28:F28"/>
    <mergeCell ref="G57:H57"/>
    <mergeCell ref="G62:H62"/>
    <mergeCell ref="Q4:R4"/>
    <mergeCell ref="H21:J22"/>
    <mergeCell ref="E34:F34"/>
    <mergeCell ref="C52:C53"/>
    <mergeCell ref="D46:J46"/>
    <mergeCell ref="K23:K24"/>
    <mergeCell ref="Q15:R15"/>
    <mergeCell ref="D45:J45"/>
    <mergeCell ref="F52:F53"/>
    <mergeCell ref="E27:F27"/>
    <mergeCell ref="G58:H58"/>
    <mergeCell ref="E26:F26"/>
    <mergeCell ref="D49:J49"/>
    <mergeCell ref="D54:D55"/>
    <mergeCell ref="G55:H55"/>
    <mergeCell ref="D41:J41"/>
    <mergeCell ref="D48:J48"/>
    <mergeCell ref="E25:F25"/>
    <mergeCell ref="G63:H63"/>
    <mergeCell ref="D47:J47"/>
    <mergeCell ref="E37:F37"/>
    <mergeCell ref="E22:F22"/>
    <mergeCell ref="G60:H60"/>
    <mergeCell ref="D43:J43"/>
    <mergeCell ref="G56:H56"/>
    <mergeCell ref="E21:F21"/>
  </mergeCells>
  <conditionalFormatting sqref="L3:L18">
    <cfRule type="cellIs" priority="3" operator="greaterThan" dxfId="0">
      <formula>30</formula>
    </cfRule>
  </conditionalFormatting>
  <conditionalFormatting sqref="K23:K2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6">
    <cfRule type="containsText" priority="6" operator="containsText" dxfId="3" text="～">
      <formula>NOT(ISERROR(SEARCH("～",D5)))</formula>
    </cfRule>
  </conditionalFormatting>
  <pageMargins left="0.7086614173228347" right="0.7086614173228347" top="0.5511811023622047" bottom="0.5511811023622047" header="0.3149606299212598" footer="0.3149606299212598"/>
  <pageSetup orientation="landscape" paperSize="9" scale="47" horizontalDpi="1200" verticalDpi="1200"/>
</worksheet>
</file>

<file path=xl/worksheets/sheet3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R84"/>
  <sheetViews>
    <sheetView zoomScaleNormal="100" workbookViewId="0">
      <selection activeCell="H13" sqref="H13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2.625" bestFit="1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79" min="8" max="9"/>
    <col width="6.625" customWidth="1" style="2" min="10" max="11"/>
    <col width="20.25" customWidth="1" style="77" min="12" max="12"/>
    <col width="8.75" customWidth="1" style="2" min="13" max="16384"/>
  </cols>
  <sheetData>
    <row r="1"/>
    <row r="2" ht="15" customHeight="1" s="462" thickBot="1">
      <c r="B2" s="496" t="n">
        <v>46189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48" customHeight="1" s="462">
      <c r="A4" s="423" t="n"/>
      <c r="B4" s="324" t="inlineStr">
        <is>
          <t>777：3ヶ月点検
7651：3ヶ月点検</t>
        </is>
      </c>
      <c r="C4" s="324" t="inlineStr">
        <is>
          <t xml:space="preserve">藤岡：講習
</t>
        </is>
      </c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4" t="n"/>
      <c r="D5" s="441" t="n"/>
      <c r="E5" s="259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4" t="n"/>
      <c r="D6" s="63" t="n"/>
      <c r="E6" s="441" t="n"/>
      <c r="F6" s="57" t="n"/>
      <c r="G6" s="59" t="n"/>
      <c r="H6" s="438" t="n"/>
      <c r="I6" s="295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441" t="n"/>
      <c r="D7" s="63" t="n"/>
      <c r="E7" s="441" t="n"/>
      <c r="F7" s="57" t="n"/>
      <c r="G7" s="68" t="n"/>
      <c r="H7" s="438" t="n"/>
      <c r="I7" s="295">
        <f>IFERROR(_xlfn.XLOOKUP(H7,案件・ドライバー一覧!$L$3:$L$17,案件・ドライバー一覧!$M$3:$M$17,""),"")</f>
        <v/>
      </c>
      <c r="J7" s="57" t="n"/>
      <c r="K7" s="73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36" customHeight="1" s="462">
      <c r="A9" s="423">
        <f>IF(B9="","",COUNTA($B$5:B9))</f>
        <v/>
      </c>
      <c r="B9" s="57" t="n"/>
      <c r="C9" s="62" t="n"/>
      <c r="D9" s="441" t="n"/>
      <c r="E9" s="441" t="n"/>
      <c r="F9" s="57" t="n"/>
      <c r="G9" s="65" t="n"/>
      <c r="H9" s="438" t="n"/>
      <c r="I9" s="295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438" t="n"/>
      <c r="I10" s="295">
        <f>IFERROR(_xlfn.XLOOKUP(H10,案件・ドライバー一覧!$L$3:$L$17,案件・ドライバー一覧!$M$3:$M$17,""),"")</f>
        <v/>
      </c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4.75" customHeight="1" s="462">
      <c r="A11" s="423">
        <f>IF(B11="","",COUNTA($B$5:B11))</f>
        <v/>
      </c>
      <c r="B11" s="441" t="n"/>
      <c r="C11" s="63" t="n"/>
      <c r="D11" s="440" t="n"/>
      <c r="E11" s="441" t="n"/>
      <c r="F11" s="57" t="n"/>
      <c r="G11" s="59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441" t="n"/>
      <c r="C12" s="63" t="n"/>
      <c r="D12" s="250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5.5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247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17.25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427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427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4" t="n"/>
      <c r="D16" s="441" t="n"/>
      <c r="E16" s="63" t="n"/>
      <c r="F16" s="441" t="n"/>
      <c r="G16" s="59" t="n"/>
      <c r="H16" s="438" t="n"/>
      <c r="I16" s="427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438" t="n"/>
      <c r="I18" s="427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4.75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438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27" customHeight="1" s="462">
      <c r="A20" s="423">
        <f>IF(B20="","",COUNTA($B$5:B20))</f>
        <v/>
      </c>
      <c r="B20" s="57" t="n"/>
      <c r="C20" s="62" t="n"/>
      <c r="D20" s="441" t="n"/>
      <c r="E20" s="441" t="n"/>
      <c r="F20" s="57" t="n"/>
      <c r="G20" s="65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63" t="n"/>
      <c r="D21" s="441" t="n"/>
      <c r="E21" s="441" t="n"/>
      <c r="F21" s="57" t="n"/>
      <c r="G21" s="65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  <c r="R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65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2" t="n"/>
      <c r="D23" s="63" t="n"/>
      <c r="E23" s="441" t="n"/>
      <c r="F23" s="57" t="n"/>
      <c r="G23" s="66" t="n"/>
      <c r="H23" s="438" t="n"/>
      <c r="I23" s="427" t="n"/>
      <c r="J23" s="57" t="n"/>
      <c r="K23" s="73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38" t="n"/>
      <c r="J24" s="420" t="n"/>
      <c r="K24" s="73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</row>
    <row r="25" ht="14.25" customHeight="1" s="462">
      <c r="A25" s="423">
        <f>IF(B25="","",COUNTA($B$5:B25))</f>
        <v/>
      </c>
      <c r="B25" s="57" t="n"/>
      <c r="C25" s="420" t="n"/>
      <c r="D25" s="63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57" t="n"/>
      <c r="C26" s="57" t="n"/>
      <c r="D26" s="441" t="n"/>
      <c r="E26" s="441" t="n"/>
      <c r="F26" s="57" t="n"/>
      <c r="G26" s="66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</row>
    <row r="27" ht="27.75" customHeight="1" s="462">
      <c r="A27" s="423">
        <f>IF(B27="","",COUNTA($B$5:B27))</f>
        <v/>
      </c>
      <c r="B27" s="441" t="n"/>
      <c r="C27" s="440" t="n"/>
      <c r="D27" s="441" t="n"/>
      <c r="E27" s="440" t="n"/>
      <c r="F27" s="57" t="n"/>
      <c r="G27" s="65" t="n"/>
      <c r="H27" s="438" t="n"/>
      <c r="I27" s="438" t="n"/>
      <c r="J27" s="420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</row>
    <row r="28" ht="36" customHeight="1" s="462">
      <c r="A28" s="423">
        <f>IF(B28="","",COUNTA($B$5:B28))</f>
        <v/>
      </c>
      <c r="B28" s="57" t="n"/>
      <c r="C28" s="64" t="n"/>
      <c r="D28" s="64" t="n"/>
      <c r="E28" s="441" t="n"/>
      <c r="F28" s="57" t="n"/>
      <c r="G28" s="134" t="n"/>
      <c r="H28" s="438" t="n"/>
      <c r="I28" s="427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  <c r="R28" s="449" t="n"/>
    </row>
    <row r="29" ht="27.75" customHeight="1" s="462">
      <c r="A29" s="423">
        <f>IF(B29="","",COUNTA($B$5:B29))</f>
        <v/>
      </c>
      <c r="B29" s="441" t="n"/>
      <c r="C29" s="440" t="n"/>
      <c r="D29" s="441" t="n"/>
      <c r="E29" s="440" t="n"/>
      <c r="F29" s="57" t="n"/>
      <c r="G29" s="65" t="n"/>
      <c r="H29" s="438" t="n"/>
      <c r="I29" s="427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  <c r="R29" s="449" t="n"/>
    </row>
    <row r="30" ht="27.75" customHeight="1" s="462">
      <c r="A30" s="423">
        <f>IF(B30="","",COUNTA($B$5:B30))</f>
        <v/>
      </c>
      <c r="B30" s="441" t="n"/>
      <c r="C30" s="440" t="n"/>
      <c r="D30" s="441" t="n"/>
      <c r="E30" s="440" t="n"/>
      <c r="F30" s="57" t="n"/>
      <c r="G30" s="65" t="n"/>
      <c r="H30" s="438" t="n"/>
      <c r="I30" s="427" t="n"/>
      <c r="J30" s="57" t="n"/>
      <c r="K30" s="7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M30" s="449" t="n"/>
      <c r="N30" s="449" t="n"/>
      <c r="O30" s="449" t="n"/>
      <c r="P30" s="449" t="n"/>
      <c r="Q30" s="449" t="n"/>
      <c r="R30" s="449" t="n"/>
    </row>
    <row r="31" ht="27.75" customHeight="1" s="462">
      <c r="A31" s="423">
        <f>IF(B31="","",COUNTA($B$5:B31))</f>
        <v/>
      </c>
      <c r="B31" s="441" t="n"/>
      <c r="C31" s="440" t="n"/>
      <c r="D31" s="441" t="n"/>
      <c r="E31" s="440" t="n"/>
      <c r="F31" s="57" t="n"/>
      <c r="G31" s="65" t="n"/>
      <c r="H31" s="438" t="n"/>
      <c r="I31" s="427" t="n"/>
      <c r="J31" s="57" t="n"/>
      <c r="K31" s="7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  <c r="O31" s="449" t="n"/>
      <c r="P31" s="449" t="n"/>
      <c r="Q31" s="449" t="n"/>
      <c r="R31" s="449" t="n"/>
    </row>
    <row r="32" ht="27.75" customHeight="1" s="462">
      <c r="A32" s="423" t="n"/>
      <c r="B32" s="441" t="n"/>
      <c r="C32" s="440" t="n"/>
      <c r="D32" s="441" t="n"/>
      <c r="E32" s="440" t="n"/>
      <c r="F32" s="57" t="n"/>
      <c r="G32" s="65" t="n"/>
      <c r="H32" s="438" t="n"/>
      <c r="I32" s="427" t="n"/>
      <c r="J32" s="57" t="n"/>
      <c r="K32" s="72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M32" s="449" t="n"/>
      <c r="N32" s="449" t="n"/>
      <c r="O32" s="449" t="n"/>
      <c r="P32" s="449" t="n"/>
      <c r="Q32" s="449" t="n"/>
      <c r="R32" s="449" t="n"/>
    </row>
    <row r="33" ht="27" customHeight="1" s="462">
      <c r="A33" s="423">
        <f>IF(B33="","",COUNTA($B$5:B33))</f>
        <v/>
      </c>
      <c r="B33" s="441" t="n"/>
      <c r="C33" s="63" t="n"/>
      <c r="D33" s="440" t="n"/>
      <c r="E33" s="441" t="n"/>
      <c r="F33" s="57" t="n"/>
      <c r="G33" s="59" t="n"/>
      <c r="H33" s="438" t="n"/>
      <c r="I33" s="427" t="n"/>
      <c r="J33" s="57" t="n"/>
      <c r="K33" s="73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  <c r="O33" s="449" t="n"/>
      <c r="P33" s="449" t="n"/>
      <c r="Q33" s="449" t="n"/>
    </row>
    <row r="34" ht="27" customHeight="1" s="462">
      <c r="A34" s="423">
        <f>IF(B34="","",COUNTA($B$5:B34))</f>
        <v/>
      </c>
      <c r="B34" s="441" t="n"/>
      <c r="C34" s="63" t="n"/>
      <c r="D34" s="440" t="n"/>
      <c r="E34" s="441" t="n"/>
      <c r="F34" s="57" t="n"/>
      <c r="G34" s="59" t="n"/>
      <c r="H34" s="438" t="n"/>
      <c r="I34" s="427" t="n"/>
      <c r="J34" s="57" t="n"/>
      <c r="K34" s="73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M34" s="449" t="n"/>
      <c r="N34" s="449" t="n"/>
      <c r="O34" s="449" t="n"/>
      <c r="P34" s="449" t="n"/>
      <c r="Q34" s="449" t="n"/>
      <c r="R34" s="449" t="n"/>
    </row>
    <row r="35" ht="27" customHeight="1" s="462">
      <c r="A35" s="423">
        <f>IF(B35="","",COUNTA($B$5:B35))</f>
        <v/>
      </c>
      <c r="B35" s="441" t="n"/>
      <c r="C35" s="63" t="n"/>
      <c r="D35" s="440" t="n"/>
      <c r="E35" s="441" t="n"/>
      <c r="F35" s="57" t="n"/>
      <c r="G35" s="59" t="n"/>
      <c r="H35" s="438" t="n"/>
      <c r="I35" s="427" t="n"/>
      <c r="J35" s="57" t="n"/>
      <c r="K35" s="73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M35" s="449" t="n"/>
      <c r="N35" s="449" t="n"/>
      <c r="O35" s="449" t="n"/>
      <c r="P35" s="449" t="n"/>
      <c r="Q35" s="449" t="n"/>
      <c r="R35" s="449" t="n"/>
    </row>
    <row r="36" ht="27" customHeight="1" s="462">
      <c r="A36" s="423">
        <f>IF(B36="","",COUNTA($B$5:B36))</f>
        <v/>
      </c>
      <c r="B36" s="420" t="n"/>
      <c r="C36" s="420" t="n"/>
      <c r="D36" s="420" t="n"/>
      <c r="E36" s="420" t="n"/>
      <c r="F36" s="420" t="n"/>
      <c r="G36" s="69" t="n"/>
      <c r="H36" s="70" t="n"/>
      <c r="I36" s="70" t="n"/>
      <c r="J36" s="420" t="n"/>
      <c r="K36" s="22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M36" s="449" t="n"/>
      <c r="N36" s="449" t="n"/>
      <c r="O36" s="449" t="n"/>
      <c r="P36" s="449" t="n"/>
      <c r="Q36" s="449" t="n"/>
    </row>
    <row r="37">
      <c r="B37" s="18" t="n"/>
      <c r="C37" s="18" t="n"/>
      <c r="D37" s="18" t="n"/>
      <c r="E37" s="18" t="n"/>
      <c r="F37" s="18" t="n"/>
      <c r="G37" s="19" t="n"/>
      <c r="H37" s="33" t="n"/>
      <c r="I37" s="18" t="n"/>
      <c r="J37" s="18" t="n"/>
      <c r="K37" s="18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2" t="n"/>
    </row>
    <row r="38">
      <c r="B38" s="18" t="n"/>
      <c r="C38" s="18" t="n"/>
      <c r="D38" s="18" t="n"/>
      <c r="E38" s="18" t="n"/>
      <c r="F38" s="18" t="n"/>
      <c r="G38" s="19" t="n"/>
      <c r="H38" s="33" t="n"/>
      <c r="I38" s="18" t="n"/>
      <c r="J38" s="18" t="n"/>
      <c r="K38" s="18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2" t="n"/>
    </row>
    <row r="39" ht="14.25" customHeight="1" s="462" thickBot="1">
      <c r="H39" s="2" t="n"/>
      <c r="I39" s="2" t="n"/>
      <c r="K39" s="2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2" t="n"/>
    </row>
    <row r="40">
      <c r="B40" s="22" t="n"/>
      <c r="C40" s="25" t="n"/>
      <c r="D40" s="25" t="inlineStr">
        <is>
          <t>現在待機場所</t>
        </is>
      </c>
      <c r="E40" s="25" t="inlineStr">
        <is>
          <t>待機予定場所</t>
        </is>
      </c>
      <c r="F40" s="466" t="n"/>
      <c r="H40" s="375" t="inlineStr">
        <is>
          <t>目標距離</t>
        </is>
      </c>
      <c r="I40" s="465" t="n"/>
      <c r="J40" s="467" t="n"/>
      <c r="K40" s="377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2" t="n"/>
    </row>
    <row r="41" ht="14.25" customHeight="1" s="462" thickBot="1">
      <c r="B41" s="26" t="inlineStr">
        <is>
          <t>2(255)</t>
        </is>
      </c>
      <c r="C41" s="21" t="inlineStr">
        <is>
          <t>山岸</t>
        </is>
      </c>
      <c r="D41" s="34" t="n"/>
      <c r="E41" s="34" t="n"/>
      <c r="F41" s="466" t="n"/>
      <c r="H41" s="468" t="n"/>
      <c r="I41" s="477" t="n"/>
      <c r="J41" s="469" t="n"/>
      <c r="K41" s="470" t="n"/>
      <c r="L41" s="2" t="n"/>
    </row>
    <row r="42">
      <c r="B42" s="26" t="inlineStr">
        <is>
          <t>8(254)</t>
        </is>
      </c>
      <c r="C42" s="21" t="inlineStr">
        <is>
          <t>砂川</t>
        </is>
      </c>
      <c r="D42" s="35" t="n"/>
      <c r="E42" s="35" t="n"/>
      <c r="F42" s="466" t="n"/>
      <c r="H42" s="368" t="inlineStr">
        <is>
          <t>残距離</t>
        </is>
      </c>
      <c r="J42" s="471" t="n"/>
      <c r="K42" s="354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2" t="n"/>
    </row>
    <row r="43" ht="14.25" customHeight="1" s="462" thickBot="1">
      <c r="B43" s="26" t="inlineStr">
        <is>
          <t>9(256)</t>
        </is>
      </c>
      <c r="C43" s="21" t="inlineStr">
        <is>
          <t>前川</t>
        </is>
      </c>
      <c r="D43" s="35" t="n"/>
      <c r="E43" s="35" t="n"/>
      <c r="F43" s="466" t="n"/>
      <c r="H43" s="468" t="n"/>
      <c r="I43" s="477" t="n"/>
      <c r="J43" s="469" t="n"/>
      <c r="K43" s="472" t="n"/>
      <c r="L43" s="2" t="n"/>
    </row>
    <row r="44" ht="14.25" customHeight="1" s="462" thickBot="1">
      <c r="B44" s="26" t="inlineStr">
        <is>
          <t>10(257)</t>
        </is>
      </c>
      <c r="C44" s="35" t="n"/>
      <c r="D44" s="35" t="n"/>
      <c r="E44" s="35" t="n"/>
      <c r="F44" s="466" t="n"/>
      <c r="H44" s="2" t="n"/>
      <c r="I44" s="2" t="n"/>
      <c r="K44" s="2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</row>
    <row r="45">
      <c r="B45" s="26" t="inlineStr">
        <is>
          <t>11(258)</t>
        </is>
      </c>
      <c r="C45" s="21" t="inlineStr">
        <is>
          <t>郡司</t>
        </is>
      </c>
      <c r="D45" s="35" t="n"/>
      <c r="E45" s="35" t="n"/>
      <c r="F45" s="466" t="n"/>
      <c r="H45" s="350" t="inlineStr">
        <is>
          <t>依頼件数</t>
        </is>
      </c>
      <c r="I45" s="465" t="n"/>
      <c r="J45" s="467" t="n"/>
      <c r="K45" s="354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</row>
    <row r="46" ht="14.25" customHeight="1" s="462" thickBot="1">
      <c r="B46" s="26" t="inlineStr">
        <is>
          <t>12(736)</t>
        </is>
      </c>
      <c r="C46" s="21" t="n"/>
      <c r="D46" s="35" t="n"/>
      <c r="E46" s="35" t="n"/>
      <c r="F46" s="466" t="n"/>
      <c r="H46" s="468" t="n"/>
      <c r="I46" s="477" t="n"/>
      <c r="J46" s="469" t="n"/>
      <c r="K46" s="472" t="n"/>
      <c r="L46" s="2" t="n"/>
    </row>
    <row r="47" ht="16.5" customHeight="1" s="462">
      <c r="B47" s="26" t="inlineStr">
        <is>
          <t>13(737)</t>
        </is>
      </c>
      <c r="C47" s="21" t="n"/>
      <c r="D47" s="35" t="n"/>
      <c r="E47" s="35" t="n"/>
      <c r="F47" s="466" t="n"/>
      <c r="H47" s="38" t="n"/>
      <c r="I47" s="38" t="n"/>
      <c r="J47" s="38" t="n"/>
      <c r="K47" s="39" t="n"/>
      <c r="L47" s="2" t="n"/>
    </row>
    <row r="48" ht="16.5" customHeight="1" s="462">
      <c r="B48" s="40" t="inlineStr">
        <is>
          <t>14(738)</t>
        </is>
      </c>
      <c r="C48" s="21" t="inlineStr">
        <is>
          <t>辻井</t>
        </is>
      </c>
      <c r="D48" s="35" t="n"/>
      <c r="E48" s="35" t="n"/>
      <c r="F48" s="466" t="n"/>
      <c r="H48" s="38" t="n"/>
      <c r="I48" s="38" t="n"/>
      <c r="J48" s="38" t="n"/>
      <c r="K48" s="39" t="n"/>
      <c r="L48" s="2" t="n"/>
    </row>
    <row r="49" ht="8.25" customHeight="1" s="462">
      <c r="B49" s="41" t="n"/>
      <c r="C49" s="42" t="n"/>
      <c r="D49" s="43" t="n"/>
      <c r="E49" s="44" t="n"/>
      <c r="F49" s="349" t="n"/>
      <c r="H49" s="38" t="n"/>
      <c r="I49" s="38" t="n"/>
      <c r="J49" s="38" t="n"/>
      <c r="K49" s="39" t="n"/>
      <c r="L49" s="2" t="n"/>
    </row>
    <row r="50" ht="17.25" customHeight="1" s="462">
      <c r="B50" s="45" t="n">
        <v>7290</v>
      </c>
      <c r="C50" s="21" t="inlineStr">
        <is>
          <t>佐藤</t>
        </is>
      </c>
      <c r="D50" s="35" t="n"/>
      <c r="E50" s="348" t="n"/>
      <c r="F50" s="349" t="n"/>
      <c r="H50" s="38" t="n"/>
      <c r="I50" s="38" t="n"/>
      <c r="J50" s="38" t="n"/>
      <c r="K50" s="39" t="n"/>
      <c r="L50" s="2" t="n"/>
    </row>
    <row r="51" ht="17.25" customHeight="1" s="462">
      <c r="B51" s="45" t="n">
        <v>7291</v>
      </c>
      <c r="C51" s="21" t="inlineStr">
        <is>
          <t>末次</t>
        </is>
      </c>
      <c r="D51" s="35" t="n"/>
      <c r="E51" s="348" t="n"/>
      <c r="F51" s="349" t="n"/>
      <c r="H51" s="38" t="n"/>
      <c r="I51" s="38" t="n"/>
      <c r="J51" s="38" t="n"/>
      <c r="K51" s="39" t="n"/>
      <c r="L51" s="2" t="n"/>
    </row>
    <row r="52" ht="9" customHeight="1" s="462">
      <c r="B52" s="41" t="n"/>
      <c r="C52" s="42" t="n"/>
      <c r="D52" s="44" t="n"/>
      <c r="E52" s="44" t="n"/>
      <c r="F52" s="349" t="n"/>
      <c r="H52" s="38" t="n"/>
      <c r="I52" s="38" t="n"/>
      <c r="J52" s="38" t="n"/>
      <c r="K52" s="39" t="n"/>
      <c r="L52" s="2" t="n"/>
    </row>
    <row r="53" ht="16.5" customHeight="1" s="462">
      <c r="B53" s="45" t="n">
        <v>333</v>
      </c>
      <c r="C53" s="21" t="inlineStr">
        <is>
          <t>金井/奥田</t>
        </is>
      </c>
      <c r="D53" s="35" t="n"/>
      <c r="E53" s="484" t="n"/>
      <c r="F53" s="469" t="n"/>
      <c r="H53" s="38" t="n"/>
      <c r="I53" s="38" t="n"/>
      <c r="J53" s="38" t="n"/>
      <c r="K53" s="39" t="n"/>
      <c r="L53" s="2" t="n"/>
    </row>
    <row r="54" ht="16.5" customHeight="1" s="462">
      <c r="B54" s="46" t="n">
        <v>666</v>
      </c>
      <c r="C54" s="21" t="inlineStr">
        <is>
          <t>徳留</t>
        </is>
      </c>
      <c r="D54" s="35" t="n"/>
      <c r="E54" s="35" t="n"/>
      <c r="F54" s="466" t="n"/>
      <c r="H54" s="38" t="n"/>
      <c r="I54" s="38" t="n"/>
      <c r="J54" s="38" t="n"/>
      <c r="K54" s="39" t="n"/>
      <c r="L54" s="2" t="n"/>
    </row>
    <row r="55" ht="16.5" customHeight="1" s="462">
      <c r="B55" s="46" t="n">
        <v>777</v>
      </c>
      <c r="C55" s="21" t="n"/>
      <c r="D55" s="35" t="n"/>
      <c r="E55" s="348" t="n"/>
      <c r="F55" s="349" t="n"/>
      <c r="H55" s="38" t="n"/>
      <c r="I55" s="38" t="n"/>
      <c r="J55" s="38" t="n"/>
      <c r="K55" s="39" t="n"/>
      <c r="L55" s="2" t="n"/>
    </row>
    <row r="56" ht="16.5" customHeight="1" s="462">
      <c r="B56" s="47" t="n">
        <v>330</v>
      </c>
      <c r="C56" s="21" t="n"/>
      <c r="D56" s="35" t="n"/>
      <c r="E56" s="35" t="n"/>
      <c r="F56" s="466" t="n"/>
      <c r="H56" s="38" t="n"/>
      <c r="I56" s="38" t="n"/>
      <c r="J56" s="38" t="n"/>
      <c r="K56" s="39" t="n"/>
      <c r="L56" s="2" t="n"/>
    </row>
    <row r="57" ht="16.5" customHeight="1" s="462">
      <c r="B57" s="47" t="n">
        <v>990</v>
      </c>
      <c r="C57" s="21" t="inlineStr">
        <is>
          <t>山原</t>
        </is>
      </c>
      <c r="D57" s="35" t="n"/>
      <c r="E57" s="35" t="n"/>
      <c r="F57" s="466" t="n"/>
      <c r="H57" s="38" t="n"/>
      <c r="I57" s="38" t="n"/>
      <c r="J57" s="38" t="n"/>
      <c r="K57" s="39" t="n"/>
      <c r="L57" s="2" t="n"/>
    </row>
    <row r="58">
      <c r="H58" s="2" t="n"/>
      <c r="I58" s="2" t="n"/>
      <c r="L58" s="2" t="n"/>
    </row>
    <row r="59">
      <c r="C59" s="449" t="inlineStr">
        <is>
          <t>出発→到着</t>
        </is>
      </c>
      <c r="D59" s="420" t="inlineStr">
        <is>
          <t>備考</t>
        </is>
      </c>
      <c r="H59" s="2" t="n"/>
      <c r="I59" s="2" t="n"/>
      <c r="L59" s="2" t="n"/>
    </row>
    <row r="60">
      <c r="B60" s="27" t="inlineStr">
        <is>
          <t>①</t>
        </is>
      </c>
      <c r="C60" s="449" t="inlineStr">
        <is>
          <t>東→西</t>
        </is>
      </c>
      <c r="D60" s="485" t="inlineStr">
        <is>
          <t>①Aチーム優先</t>
        </is>
      </c>
      <c r="E60" s="486" t="n"/>
      <c r="F60" s="486" t="n"/>
      <c r="G60" s="486" t="n"/>
      <c r="H60" s="486" t="n"/>
      <c r="I60" s="486" t="n"/>
      <c r="J60" s="466" t="n"/>
      <c r="L60" s="2" t="n"/>
    </row>
    <row r="61">
      <c r="B61" s="27" t="inlineStr">
        <is>
          <t>②</t>
        </is>
      </c>
      <c r="C61" s="449" t="inlineStr">
        <is>
          <t>東→東</t>
        </is>
      </c>
      <c r="D61" s="485" t="inlineStr">
        <is>
          <t>②急ぎ案件の場合、道路状況も伝えてあげる。</t>
        </is>
      </c>
      <c r="E61" s="486" t="n"/>
      <c r="F61" s="486" t="n"/>
      <c r="G61" s="486" t="n"/>
      <c r="H61" s="486" t="n"/>
      <c r="I61" s="486" t="n"/>
      <c r="J61" s="466" t="n"/>
      <c r="L61" s="2" t="n"/>
    </row>
    <row r="62">
      <c r="B62" s="27" t="inlineStr">
        <is>
          <t>③</t>
        </is>
      </c>
      <c r="C62" s="449" t="inlineStr">
        <is>
          <t>西→東</t>
        </is>
      </c>
      <c r="D62" s="485" t="inlineStr">
        <is>
          <t>③各ドライバーの位置からの帰社のタイミング・夕方の配置</t>
        </is>
      </c>
      <c r="E62" s="486" t="n"/>
      <c r="F62" s="486" t="n"/>
      <c r="G62" s="486" t="n"/>
      <c r="H62" s="486" t="n"/>
      <c r="I62" s="486" t="n"/>
      <c r="J62" s="466" t="n"/>
      <c r="L62" s="2" t="n"/>
    </row>
    <row r="63">
      <c r="B63" s="27" t="inlineStr">
        <is>
          <t>④</t>
        </is>
      </c>
      <c r="C63" s="449" t="inlineStr">
        <is>
          <t>西→西</t>
        </is>
      </c>
      <c r="D63" s="485" t="inlineStr">
        <is>
          <t>④依頼を受ける際の、希望時間と現状の位置。行けるか行けないかの判断をしっかりと。</t>
        </is>
      </c>
      <c r="E63" s="486" t="n"/>
      <c r="F63" s="486" t="n"/>
      <c r="G63" s="486" t="n"/>
      <c r="H63" s="486" t="n"/>
      <c r="I63" s="486" t="n"/>
      <c r="J63" s="466" t="n"/>
      <c r="L63" s="2" t="n"/>
    </row>
    <row r="64">
      <c r="D64" s="485" t="inlineStr">
        <is>
          <t>⑤軽に乗るか乗らないかの判断に気を付ける。</t>
        </is>
      </c>
      <c r="E64" s="486" t="n"/>
      <c r="F64" s="486" t="n"/>
      <c r="G64" s="486" t="n"/>
      <c r="H64" s="486" t="n"/>
      <c r="I64" s="486" t="n"/>
      <c r="J64" s="466" t="n"/>
      <c r="L64" s="2" t="n"/>
    </row>
    <row r="65">
      <c r="B65" s="22" t="n"/>
      <c r="C65" s="420" t="inlineStr">
        <is>
          <t>現状配置(予測)</t>
        </is>
      </c>
      <c r="D65" s="485" t="inlineStr">
        <is>
          <t>⑥18/1日、1.8/1人、3件/1人</t>
        </is>
      </c>
      <c r="E65" s="486" t="n"/>
      <c r="F65" s="486" t="n"/>
      <c r="G65" s="486" t="n"/>
      <c r="H65" s="486" t="n"/>
      <c r="I65" s="486" t="n"/>
      <c r="J65" s="466" t="n"/>
      <c r="L65" s="2" t="n"/>
    </row>
    <row r="66">
      <c r="B66" s="420" t="inlineStr">
        <is>
          <t>西(神戸西・弥栄台)</t>
        </is>
      </c>
      <c r="C66" s="420" t="n"/>
      <c r="D66" s="485" t="inlineStr">
        <is>
          <t>⑦依頼書の見落とし(日付、入替、入出庫、場所）</t>
        </is>
      </c>
      <c r="E66" s="486" t="n"/>
      <c r="F66" s="486" t="n"/>
      <c r="G66" s="486" t="n"/>
      <c r="H66" s="486" t="n"/>
      <c r="I66" s="486" t="n"/>
      <c r="J66" s="466" t="n"/>
      <c r="L66" s="2" t="n"/>
    </row>
    <row r="67">
      <c r="B67" s="420" t="inlineStr">
        <is>
          <t>真ん中(摩耶・中央)</t>
        </is>
      </c>
      <c r="C67" s="420" t="n"/>
      <c r="D67" s="485" t="inlineStr">
        <is>
          <t>⑧3ｔ車と2ｔ車への振り方(西と東に振り分ける)</t>
        </is>
      </c>
      <c r="E67" s="486" t="n"/>
      <c r="F67" s="486" t="n"/>
      <c r="G67" s="486" t="n"/>
      <c r="H67" s="486" t="n"/>
      <c r="I67" s="486" t="n"/>
      <c r="J67" s="466" t="n"/>
      <c r="L67" s="2" t="n"/>
    </row>
    <row r="68">
      <c r="B68" s="420" t="inlineStr">
        <is>
          <t>東(尼崎・伊丹・西宮)</t>
        </is>
      </c>
      <c r="C68" s="420" t="n"/>
      <c r="D68" s="485" t="inlineStr">
        <is>
          <t>⑨</t>
        </is>
      </c>
      <c r="E68" s="486" t="n"/>
      <c r="F68" s="486" t="n"/>
      <c r="G68" s="486" t="n"/>
      <c r="H68" s="486" t="n"/>
      <c r="I68" s="486" t="n"/>
      <c r="J68" s="466" t="n"/>
      <c r="L68" s="2" t="n"/>
    </row>
    <row r="69">
      <c r="B69" s="48" t="inlineStr">
        <is>
          <t>極東(港区・淀屋橋)</t>
        </is>
      </c>
      <c r="C69" s="420" t="n"/>
      <c r="D69" s="49" t="n"/>
      <c r="E69" s="49" t="n"/>
      <c r="F69" s="49" t="n"/>
      <c r="G69" s="49" t="n"/>
      <c r="H69" s="49" t="n"/>
      <c r="I69" s="49" t="n"/>
      <c r="J69" s="49" t="n"/>
      <c r="L69" s="2" t="n"/>
    </row>
    <row r="70" ht="14.25" customHeight="1" s="462" thickBot="1">
      <c r="H70" s="2" t="n"/>
      <c r="I70" s="2" t="n"/>
      <c r="L70" s="2" t="n"/>
    </row>
    <row r="71">
      <c r="C71" s="473" t="inlineStr">
        <is>
          <t>合計額/380</t>
        </is>
      </c>
      <c r="D71" s="358">
        <f>SUM(G71)</f>
        <v/>
      </c>
      <c r="F71" s="360" t="inlineStr">
        <is>
          <t>売り上げ額</t>
        </is>
      </c>
      <c r="G71" s="362">
        <f>SUM(SUM(K4:K37))+SUM(#REF!)</f>
        <v/>
      </c>
      <c r="H71" s="465" t="n"/>
      <c r="I71" s="465" t="n"/>
      <c r="J71" s="467" t="n"/>
      <c r="L71" s="2" t="n"/>
    </row>
    <row r="72" ht="14.25" customHeight="1" s="462" thickBot="1">
      <c r="C72" s="474" t="n"/>
      <c r="D72" s="475" t="n"/>
      <c r="F72" s="468" t="n"/>
      <c r="G72" s="476" t="n"/>
      <c r="H72" s="477" t="n"/>
      <c r="I72" s="477" t="n"/>
      <c r="J72" s="469" t="n"/>
      <c r="L72" s="2" t="n"/>
    </row>
    <row r="73">
      <c r="C73" s="478" t="inlineStr">
        <is>
          <t>前日までの売上合計額</t>
        </is>
      </c>
      <c r="D73" s="479">
        <f>SUM(B82)</f>
        <v/>
      </c>
      <c r="H73" s="2" t="n"/>
      <c r="I73" s="2" t="n"/>
      <c r="L73" s="2" t="n"/>
    </row>
    <row r="74" ht="14.25" customHeight="1" s="462" thickBot="1">
      <c r="C74" s="480" t="n"/>
      <c r="D74" s="480" t="n"/>
      <c r="F74" s="420" t="inlineStr">
        <is>
          <t>金井（55)</t>
        </is>
      </c>
      <c r="G74" s="345" t="n"/>
      <c r="H74" s="466" t="n"/>
      <c r="I74" s="130" t="n"/>
      <c r="L74" s="2" t="n"/>
    </row>
    <row r="75" ht="14.25" customHeight="1" s="462" thickTop="1">
      <c r="D75" s="346">
        <f>D71+D73</f>
        <v/>
      </c>
      <c r="F75" s="420" t="inlineStr">
        <is>
          <t>粟津(55)</t>
        </is>
      </c>
      <c r="G75" s="340" t="n"/>
      <c r="H75" s="466" t="n"/>
      <c r="I75" s="131" t="n"/>
      <c r="L75" s="2" t="n"/>
    </row>
    <row r="76">
      <c r="F76" s="420" t="inlineStr">
        <is>
          <t>砂川(50)</t>
        </is>
      </c>
      <c r="G76" s="340" t="n"/>
      <c r="H76" s="466" t="n"/>
      <c r="I76" s="131" t="n"/>
      <c r="L76" s="2" t="n"/>
    </row>
    <row r="77">
      <c r="C77" s="2" t="inlineStr">
        <is>
          <t>高代</t>
        </is>
      </c>
      <c r="F77" s="420" t="inlineStr">
        <is>
          <t>前川(50)</t>
        </is>
      </c>
      <c r="G77" s="340" t="n"/>
      <c r="H77" s="466" t="n"/>
      <c r="I77" s="131" t="n"/>
      <c r="L77" s="2" t="n"/>
    </row>
    <row r="78">
      <c r="C78" s="2" t="inlineStr">
        <is>
          <t>返還代</t>
        </is>
      </c>
      <c r="F78" s="420" t="inlineStr">
        <is>
          <t>佐藤(50)</t>
        </is>
      </c>
      <c r="G78" s="345" t="n"/>
      <c r="H78" s="466" t="n"/>
      <c r="I78" s="130" t="n"/>
      <c r="L78" s="2" t="n"/>
    </row>
    <row r="79">
      <c r="C79" s="2" t="inlineStr">
        <is>
          <t>回収率</t>
        </is>
      </c>
      <c r="D79" s="50">
        <f>D78/D77</f>
        <v/>
      </c>
      <c r="F79" s="420" t="inlineStr">
        <is>
          <t>末次(55)</t>
        </is>
      </c>
      <c r="G79" s="340" t="n"/>
      <c r="H79" s="466" t="n"/>
      <c r="I79" s="131" t="n"/>
      <c r="L79" s="2" t="n"/>
    </row>
    <row r="80">
      <c r="C80" s="2" t="inlineStr">
        <is>
          <t>費</t>
        </is>
      </c>
      <c r="D80" s="2">
        <f>D77-D78</f>
        <v/>
      </c>
      <c r="F80" s="420" t="inlineStr">
        <is>
          <t>筒井(75)</t>
        </is>
      </c>
      <c r="G80" s="340" t="n"/>
      <c r="H80" s="466" t="n"/>
      <c r="I80" s="131" t="n"/>
      <c r="L80" s="2" t="n"/>
    </row>
    <row r="81">
      <c r="F81" s="420" t="inlineStr">
        <is>
          <t>山岸(40)</t>
        </is>
      </c>
      <c r="G81" s="340" t="n"/>
      <c r="H81" s="466" t="n"/>
      <c r="I81" s="131" t="n"/>
      <c r="L81" s="2" t="n"/>
    </row>
    <row r="82" ht="23.25" customHeight="1" s="462">
      <c r="B82" s="71" t="n"/>
      <c r="F82" s="420" t="inlineStr">
        <is>
          <t>多苗(30)</t>
        </is>
      </c>
      <c r="G82" s="340" t="n"/>
      <c r="H82" s="466" t="n"/>
      <c r="I82" s="131" t="n"/>
      <c r="L82" s="2" t="inlineStr">
        <is>
          <t> </t>
        </is>
      </c>
    </row>
    <row r="83">
      <c r="H83" s="2" t="n"/>
      <c r="I83" s="2" t="n"/>
      <c r="L83" s="2" t="n"/>
    </row>
    <row r="84">
      <c r="H84" s="2" t="n"/>
      <c r="I84" s="2" t="n"/>
      <c r="L84" s="2" t="n"/>
    </row>
  </sheetData>
  <mergeCells count="56">
    <mergeCell ref="E43:F43"/>
    <mergeCell ref="D62:J62"/>
    <mergeCell ref="Q7:R7"/>
    <mergeCell ref="Q25:R25"/>
    <mergeCell ref="Q3:R3"/>
    <mergeCell ref="G81:H81"/>
    <mergeCell ref="C73:C74"/>
    <mergeCell ref="G77:H77"/>
    <mergeCell ref="D68:J68"/>
    <mergeCell ref="E42:F42"/>
    <mergeCell ref="Q24:R24"/>
    <mergeCell ref="Q33:R33"/>
    <mergeCell ref="D64:J64"/>
    <mergeCell ref="K45:K46"/>
    <mergeCell ref="H42:J43"/>
    <mergeCell ref="E48:F48"/>
    <mergeCell ref="D67:J67"/>
    <mergeCell ref="E44:F44"/>
    <mergeCell ref="G82:H82"/>
    <mergeCell ref="B2:C2"/>
    <mergeCell ref="C71:C72"/>
    <mergeCell ref="D75:D76"/>
    <mergeCell ref="Q5:R5"/>
    <mergeCell ref="Q23:R23"/>
    <mergeCell ref="D60:J60"/>
    <mergeCell ref="K40:K41"/>
    <mergeCell ref="Q26:R26"/>
    <mergeCell ref="E40:F40"/>
    <mergeCell ref="D63:J63"/>
    <mergeCell ref="G78:H78"/>
    <mergeCell ref="Q4:R4"/>
    <mergeCell ref="G74:H74"/>
    <mergeCell ref="D71:D72"/>
    <mergeCell ref="F71:F72"/>
    <mergeCell ref="E46:F46"/>
    <mergeCell ref="H40:J41"/>
    <mergeCell ref="D65:J65"/>
    <mergeCell ref="G80:H80"/>
    <mergeCell ref="K42:K43"/>
    <mergeCell ref="E45:F45"/>
    <mergeCell ref="D73:D74"/>
    <mergeCell ref="Q36:R36"/>
    <mergeCell ref="Q27:R27"/>
    <mergeCell ref="G79:H79"/>
    <mergeCell ref="E57:F57"/>
    <mergeCell ref="H45:J46"/>
    <mergeCell ref="D61:J61"/>
    <mergeCell ref="E54:F54"/>
    <mergeCell ref="D66:J66"/>
    <mergeCell ref="G76:H76"/>
    <mergeCell ref="E41:F41"/>
    <mergeCell ref="G71:J72"/>
    <mergeCell ref="E53:F53"/>
    <mergeCell ref="G75:H75"/>
    <mergeCell ref="E56:F56"/>
    <mergeCell ref="E47:F47"/>
  </mergeCells>
  <conditionalFormatting sqref="K42:K43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36">
    <cfRule type="cellIs" priority="1" operator="greaterThan" dxfId="0">
      <formula>30</formula>
    </cfRule>
  </conditionalFormatting>
  <conditionalFormatting sqref="D5:D45">
    <cfRule type="containsText" priority="6" operator="containsText" dxfId="3" text="～">
      <formula>NOT(ISERROR(SEARCH("～",D5)))</formula>
    </cfRule>
  </conditionalFormatting>
  <pageMargins left="0.7086614173228347" right="0.7086614173228347" top="0.5511811023622047" bottom="0.5511811023622047" header="0.3149606299212598" footer="0.3149606299212598"/>
  <pageSetup orientation="landscape" paperSize="9" scale="47" horizontalDpi="1200" verticalDpi="1200"/>
</worksheet>
</file>

<file path=xl/worksheets/sheet32.xml><?xml version="1.0" encoding="utf-8"?>
<worksheet xmlns="http://schemas.openxmlformats.org/spreadsheetml/2006/main">
  <sheetPr codeName="Sheet32">
    <tabColor rgb="FFFF0000"/>
    <outlinePr summaryBelow="1" summaryRight="1"/>
    <pageSetUpPr/>
  </sheetPr>
  <dimension ref="A1:R75"/>
  <sheetViews>
    <sheetView zoomScaleNormal="100" workbookViewId="0">
      <selection activeCell="G14" sqref="G14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79" min="8" max="9"/>
    <col width="6.625" customWidth="1" style="2" min="10" max="11"/>
    <col width="20.25" customWidth="1" style="2" min="12" max="12"/>
    <col width="8.75" customWidth="1" style="2" min="13" max="16384"/>
  </cols>
  <sheetData>
    <row r="1"/>
    <row r="2" ht="23.25" customHeight="1" s="462" thickBot="1">
      <c r="B2" s="490" t="n">
        <v>46190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54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280" t="n"/>
      <c r="I5" s="283" t="n"/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36" customHeight="1" s="462">
      <c r="A6" s="423">
        <f>IF(B6="","",COUNTA($B$5:B6))</f>
        <v/>
      </c>
      <c r="B6" s="57" t="n"/>
      <c r="C6" s="62" t="n"/>
      <c r="D6" s="441" t="n"/>
      <c r="E6" s="441" t="n"/>
      <c r="F6" s="57" t="n"/>
      <c r="G6" s="65" t="n"/>
      <c r="H6" s="74" t="n"/>
      <c r="I6" s="323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80" t="n"/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4" t="n"/>
      <c r="D13" s="441" t="n"/>
      <c r="E13" s="63" t="n"/>
      <c r="F13" s="441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2" t="n"/>
      <c r="D20" s="63" t="n"/>
      <c r="E20" s="441" t="n"/>
      <c r="F20" s="57" t="n"/>
      <c r="G20" s="66" t="n"/>
      <c r="H20" s="74" t="n"/>
      <c r="I20" s="8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57" t="n"/>
      <c r="G21" s="66" t="n"/>
      <c r="H21" s="74" t="n"/>
      <c r="I21" s="74" t="n"/>
      <c r="J21" s="420" t="n"/>
      <c r="K21" s="73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57" t="n"/>
      <c r="C22" s="420" t="n"/>
      <c r="D22" s="63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57" t="n"/>
      <c r="C23" s="57" t="n"/>
      <c r="D23" s="441" t="n"/>
      <c r="E23" s="441" t="n"/>
      <c r="F23" s="57" t="n"/>
      <c r="G23" s="66" t="n"/>
      <c r="H23" s="74" t="n"/>
      <c r="I23" s="80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441" t="n"/>
      <c r="C24" s="440" t="n"/>
      <c r="D24" s="441" t="n"/>
      <c r="E24" s="440" t="n"/>
      <c r="F24" s="57" t="n"/>
      <c r="G24" s="65" t="n"/>
      <c r="H24" s="74" t="n"/>
      <c r="I24" s="74" t="n"/>
      <c r="J24" s="420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441" t="n"/>
      <c r="C26" s="63" t="n"/>
      <c r="D26" s="440" t="n"/>
      <c r="E26" s="441" t="n"/>
      <c r="F26" s="57" t="n"/>
      <c r="G26" s="59" t="n"/>
      <c r="H26" s="60" t="n"/>
      <c r="I26" s="60" t="n"/>
      <c r="J26" s="57" t="n"/>
      <c r="K26" s="73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441" t="n"/>
      <c r="C27" s="63" t="n"/>
      <c r="D27" s="440" t="n"/>
      <c r="E27" s="441" t="n"/>
      <c r="F27" s="57" t="n"/>
      <c r="G27" s="59" t="n"/>
      <c r="H27" s="60" t="n"/>
      <c r="I27" s="60" t="n"/>
      <c r="J27" s="57" t="n"/>
      <c r="K27" s="73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  <c r="R27" s="449" t="n"/>
    </row>
    <row r="28" ht="27.75" customHeight="1" s="462">
      <c r="A28" s="423">
        <f>IF(B28="","",COUNTA($B$5:B28))</f>
        <v/>
      </c>
      <c r="B28" s="420" t="n"/>
      <c r="C28" s="420" t="n"/>
      <c r="D28" s="420" t="n"/>
      <c r="E28" s="420" t="n"/>
      <c r="F28" s="420" t="n"/>
      <c r="G28" s="69" t="n"/>
      <c r="H28" s="70" t="n"/>
      <c r="I28" s="70" t="n"/>
      <c r="J28" s="420" t="n"/>
      <c r="K28" s="2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</row>
    <row r="29" ht="27" customHeight="1" s="462">
      <c r="B29" s="18" t="n"/>
      <c r="C29" s="18" t="n"/>
      <c r="D29" s="18" t="n"/>
      <c r="E29" s="18" t="n"/>
      <c r="F29" s="18" t="n"/>
      <c r="G29" s="19" t="n"/>
      <c r="H29" s="33" t="n"/>
      <c r="I29" s="18" t="n"/>
      <c r="J29" s="18" t="n"/>
      <c r="K29" s="18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0" ht="27" customHeight="1" s="462" thickBot="1">
      <c r="H30" s="2" t="n"/>
      <c r="I30" s="2" t="n"/>
      <c r="K30" s="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1" ht="27" customHeight="1" s="462">
      <c r="B31" s="22" t="n"/>
      <c r="C31" s="25" t="n"/>
      <c r="D31" s="25" t="inlineStr">
        <is>
          <t>現在待機場所</t>
        </is>
      </c>
      <c r="E31" s="25" t="inlineStr">
        <is>
          <t>待機予定場所</t>
        </is>
      </c>
      <c r="F31" s="466" t="n"/>
      <c r="H31" s="375" t="inlineStr">
        <is>
          <t>目標距離</t>
        </is>
      </c>
      <c r="I31" s="465" t="n"/>
      <c r="J31" s="467" t="n"/>
      <c r="K31" s="377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27" customHeight="1" s="462" thickBot="1">
      <c r="B32" s="26" t="inlineStr">
        <is>
          <t>2(255)</t>
        </is>
      </c>
      <c r="C32" s="21" t="inlineStr">
        <is>
          <t>山岸</t>
        </is>
      </c>
      <c r="D32" s="34" t="n"/>
      <c r="E32" s="34" t="n"/>
      <c r="F32" s="466" t="n"/>
      <c r="H32" s="468" t="n"/>
      <c r="I32" s="477" t="n"/>
      <c r="J32" s="469" t="n"/>
      <c r="K32" s="470" t="n"/>
    </row>
    <row r="33">
      <c r="B33" s="26" t="inlineStr">
        <is>
          <t>8(254)</t>
        </is>
      </c>
      <c r="C33" s="21" t="inlineStr">
        <is>
          <t>砂川</t>
        </is>
      </c>
      <c r="D33" s="35" t="n"/>
      <c r="E33" s="35" t="n"/>
      <c r="F33" s="466" t="n"/>
      <c r="H33" s="368" t="inlineStr">
        <is>
          <t>残距離</t>
        </is>
      </c>
      <c r="J33" s="471" t="n"/>
      <c r="K33" s="354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 ht="14.25" customHeight="1" s="462" thickBot="1">
      <c r="B34" s="26" t="inlineStr">
        <is>
          <t>9(256)</t>
        </is>
      </c>
      <c r="C34" s="21" t="inlineStr">
        <is>
          <t>前川</t>
        </is>
      </c>
      <c r="D34" s="35" t="n"/>
      <c r="E34" s="35" t="n"/>
      <c r="F34" s="466" t="n"/>
      <c r="H34" s="468" t="n"/>
      <c r="I34" s="477" t="n"/>
      <c r="J34" s="469" t="n"/>
      <c r="K34" s="472" t="n"/>
    </row>
    <row r="35" ht="14.25" customHeight="1" s="462" thickBot="1">
      <c r="B35" s="26" t="inlineStr">
        <is>
          <t>10(257)</t>
        </is>
      </c>
      <c r="C35" s="35" t="n"/>
      <c r="D35" s="35" t="n"/>
      <c r="E35" s="35" t="n"/>
      <c r="F35" s="466" t="n"/>
      <c r="H35" s="2" t="n"/>
      <c r="I35" s="2" t="n"/>
      <c r="K35" s="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6">
      <c r="B36" s="26" t="inlineStr">
        <is>
          <t>11(258)</t>
        </is>
      </c>
      <c r="C36" s="21" t="inlineStr">
        <is>
          <t>郡司</t>
        </is>
      </c>
      <c r="D36" s="35" t="n"/>
      <c r="E36" s="35" t="n"/>
      <c r="F36" s="466" t="n"/>
      <c r="H36" s="350" t="inlineStr">
        <is>
          <t>依頼件数</t>
        </is>
      </c>
      <c r="I36" s="465" t="n"/>
      <c r="J36" s="467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4.25" customHeight="1" s="462" thickBot="1">
      <c r="B37" s="26" t="inlineStr">
        <is>
          <t>12(736)</t>
        </is>
      </c>
      <c r="C37" s="21" t="n"/>
      <c r="D37" s="35" t="n"/>
      <c r="E37" s="35" t="n"/>
      <c r="F37" s="466" t="n"/>
      <c r="H37" s="468" t="n"/>
      <c r="I37" s="477" t="n"/>
      <c r="J37" s="469" t="n"/>
      <c r="K37" s="472" t="n"/>
    </row>
    <row r="38" ht="17.25" customHeight="1" s="462">
      <c r="B38" s="26" t="inlineStr">
        <is>
          <t>13(737)</t>
        </is>
      </c>
      <c r="C38" s="21" t="n"/>
      <c r="D38" s="35" t="n"/>
      <c r="E38" s="35" t="n"/>
      <c r="F38" s="466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 ht="17.25" customHeight="1" s="462">
      <c r="B39" s="40" t="inlineStr">
        <is>
          <t>14(738)</t>
        </is>
      </c>
      <c r="C39" s="21" t="inlineStr">
        <is>
          <t>辻井</t>
        </is>
      </c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17.25" customHeight="1" s="462">
      <c r="B40" s="41" t="n"/>
      <c r="C40" s="42" t="n"/>
      <c r="D40" s="43" t="n"/>
      <c r="E40" s="44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1" ht="17.25" customHeight="1" s="462">
      <c r="B41" s="45" t="n">
        <v>7290</v>
      </c>
      <c r="C41" s="21" t="inlineStr">
        <is>
          <t>佐藤</t>
        </is>
      </c>
      <c r="D41" s="35" t="n"/>
      <c r="E41" s="348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2" ht="16.5" customHeight="1" s="462">
      <c r="B42" s="45" t="n">
        <v>7291</v>
      </c>
      <c r="C42" s="21" t="inlineStr">
        <is>
          <t>末次</t>
        </is>
      </c>
      <c r="D42" s="35" t="n"/>
      <c r="E42" s="348" t="n"/>
      <c r="F42" s="34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3" ht="16.5" customHeight="1" s="462">
      <c r="B43" s="41" t="n"/>
      <c r="C43" s="42" t="n"/>
      <c r="D43" s="44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4" ht="8.25" customHeight="1" s="462">
      <c r="B44" s="45" t="n">
        <v>333</v>
      </c>
      <c r="C44" s="21" t="inlineStr">
        <is>
          <t>金井/奥田</t>
        </is>
      </c>
      <c r="D44" s="35" t="n"/>
      <c r="E44" s="484" t="n"/>
      <c r="F44" s="46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5" ht="17.25" customHeight="1" s="462">
      <c r="B45" s="46" t="n">
        <v>666</v>
      </c>
      <c r="C45" s="21" t="inlineStr">
        <is>
          <t>徳留</t>
        </is>
      </c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7.25" customHeight="1" s="462">
      <c r="B46" s="46" t="n">
        <v>777</v>
      </c>
      <c r="C46" s="21" t="n"/>
      <c r="D46" s="35" t="n"/>
      <c r="E46" s="348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 ht="9" customHeight="1" s="462">
      <c r="B47" s="47" t="n">
        <v>330</v>
      </c>
      <c r="C47" s="21" t="n"/>
      <c r="D47" s="35" t="n"/>
      <c r="E47" s="35" t="n"/>
      <c r="F47" s="466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6.5" customHeight="1" s="462">
      <c r="B48" s="47" t="n">
        <v>990</v>
      </c>
      <c r="C48" s="21" t="inlineStr">
        <is>
          <t>山原</t>
        </is>
      </c>
      <c r="D48" s="35" t="n"/>
      <c r="E48" s="35" t="n"/>
      <c r="F48" s="466" t="n"/>
      <c r="H48" s="38" t="n"/>
      <c r="I48" s="38" t="n"/>
      <c r="J48" s="38" t="n"/>
      <c r="K48" s="39" t="n"/>
    </row>
    <row r="49" ht="16.5" customHeight="1" s="462">
      <c r="H49" s="2" t="n"/>
      <c r="I49" s="2" t="n"/>
    </row>
    <row r="50" ht="16.5" customHeight="1" s="462">
      <c r="C50" s="449" t="inlineStr">
        <is>
          <t>出発→到着</t>
        </is>
      </c>
      <c r="D50" s="420" t="inlineStr">
        <is>
          <t>備考</t>
        </is>
      </c>
      <c r="H50" s="2" t="n"/>
      <c r="I50" s="2" t="n"/>
    </row>
    <row r="51" ht="16.5" customHeight="1" s="462">
      <c r="B51" s="27" t="inlineStr">
        <is>
          <t>①</t>
        </is>
      </c>
      <c r="C51" s="449" t="inlineStr">
        <is>
          <t>東→西</t>
        </is>
      </c>
      <c r="D51" s="485" t="inlineStr">
        <is>
          <t>①Aチーム優先</t>
        </is>
      </c>
      <c r="E51" s="486" t="n"/>
      <c r="F51" s="486" t="n"/>
      <c r="G51" s="486" t="n"/>
      <c r="H51" s="486" t="n"/>
      <c r="I51" s="486" t="n"/>
      <c r="J51" s="466" t="n"/>
    </row>
    <row r="52" ht="16.5" customHeight="1" s="462">
      <c r="B52" s="27" t="inlineStr">
        <is>
          <t>②</t>
        </is>
      </c>
      <c r="C52" s="449" t="inlineStr">
        <is>
          <t>東→東</t>
        </is>
      </c>
      <c r="D52" s="485" t="inlineStr">
        <is>
          <t>②急ぎ案件の場合、道路状況も伝えてあげる。</t>
        </is>
      </c>
      <c r="E52" s="486" t="n"/>
      <c r="F52" s="486" t="n"/>
      <c r="G52" s="486" t="n"/>
      <c r="H52" s="486" t="n"/>
      <c r="I52" s="486" t="n"/>
      <c r="J52" s="466" t="n"/>
    </row>
    <row r="53">
      <c r="B53" s="27" t="inlineStr">
        <is>
          <t>③</t>
        </is>
      </c>
      <c r="C53" s="449" t="inlineStr">
        <is>
          <t>西→東</t>
        </is>
      </c>
      <c r="D53" s="485" t="inlineStr">
        <is>
          <t>③各ドライバーの位置からの帰社のタイミング・夕方の配置</t>
        </is>
      </c>
      <c r="E53" s="486" t="n"/>
      <c r="F53" s="486" t="n"/>
      <c r="G53" s="486" t="n"/>
      <c r="H53" s="486" t="n"/>
      <c r="I53" s="486" t="n"/>
      <c r="J53" s="466" t="n"/>
    </row>
    <row r="54">
      <c r="B54" s="27" t="inlineStr">
        <is>
          <t>④</t>
        </is>
      </c>
      <c r="C54" s="449" t="inlineStr">
        <is>
          <t>西→西</t>
        </is>
      </c>
      <c r="D54" s="485" t="inlineStr">
        <is>
          <t>④依頼を受ける際の、希望時間と現状の位置。行けるか行けないかの判断をしっかりと。</t>
        </is>
      </c>
      <c r="E54" s="486" t="n"/>
      <c r="F54" s="486" t="n"/>
      <c r="G54" s="486" t="n"/>
      <c r="H54" s="486" t="n"/>
      <c r="I54" s="486" t="n"/>
      <c r="J54" s="466" t="n"/>
    </row>
    <row r="55">
      <c r="D55" s="485" t="inlineStr">
        <is>
          <t>⑤軽に乗るか乗らないかの判断に気を付ける。</t>
        </is>
      </c>
      <c r="E55" s="486" t="n"/>
      <c r="F55" s="486" t="n"/>
      <c r="G55" s="486" t="n"/>
      <c r="H55" s="486" t="n"/>
      <c r="I55" s="486" t="n"/>
      <c r="J55" s="466" t="n"/>
    </row>
    <row r="56">
      <c r="B56" s="22" t="n"/>
      <c r="C56" s="420" t="inlineStr">
        <is>
          <t>現状配置(予測)</t>
        </is>
      </c>
      <c r="D56" s="485" t="inlineStr">
        <is>
          <t>⑥18/1日、1.8/1人、3件/1人</t>
        </is>
      </c>
      <c r="E56" s="486" t="n"/>
      <c r="F56" s="486" t="n"/>
      <c r="G56" s="486" t="n"/>
      <c r="H56" s="486" t="n"/>
      <c r="I56" s="486" t="n"/>
      <c r="J56" s="466" t="n"/>
    </row>
    <row r="57">
      <c r="B57" s="420" t="inlineStr">
        <is>
          <t>西(神戸西・弥栄台)</t>
        </is>
      </c>
      <c r="C57" s="420" t="n"/>
      <c r="D57" s="485" t="inlineStr">
        <is>
          <t>⑦依頼書の見落とし(日付、入替、入出庫、場所）</t>
        </is>
      </c>
      <c r="E57" s="486" t="n"/>
      <c r="F57" s="486" t="n"/>
      <c r="G57" s="486" t="n"/>
      <c r="H57" s="486" t="n"/>
      <c r="I57" s="486" t="n"/>
      <c r="J57" s="466" t="n"/>
    </row>
    <row r="58">
      <c r="B58" s="420" t="inlineStr">
        <is>
          <t>真ん中(摩耶・中央)</t>
        </is>
      </c>
      <c r="C58" s="420" t="n"/>
      <c r="D58" s="485" t="inlineStr">
        <is>
          <t>⑧3ｔ車と2ｔ車への振り方(西と東に振り分ける)</t>
        </is>
      </c>
      <c r="E58" s="486" t="n"/>
      <c r="F58" s="486" t="n"/>
      <c r="G58" s="486" t="n"/>
      <c r="H58" s="486" t="n"/>
      <c r="I58" s="486" t="n"/>
      <c r="J58" s="466" t="n"/>
    </row>
    <row r="59">
      <c r="B59" s="420" t="inlineStr">
        <is>
          <t>東(尼崎・伊丹・西宮)</t>
        </is>
      </c>
      <c r="C59" s="420" t="n"/>
      <c r="D59" s="485" t="inlineStr">
        <is>
          <t>⑨</t>
        </is>
      </c>
      <c r="E59" s="486" t="n"/>
      <c r="F59" s="486" t="n"/>
      <c r="G59" s="486" t="n"/>
      <c r="H59" s="486" t="n"/>
      <c r="I59" s="486" t="n"/>
      <c r="J59" s="466" t="n"/>
    </row>
    <row r="60">
      <c r="B60" s="48" t="inlineStr">
        <is>
          <t>極東(港区・淀屋橋)</t>
        </is>
      </c>
      <c r="C60" s="420" t="n"/>
      <c r="D60" s="49" t="n"/>
      <c r="E60" s="49" t="n"/>
      <c r="F60" s="49" t="n"/>
      <c r="G60" s="49" t="n"/>
      <c r="H60" s="49" t="n"/>
      <c r="I60" s="49" t="n"/>
      <c r="J60" s="49" t="n"/>
    </row>
    <row r="61" ht="14.25" customHeight="1" s="462" thickBot="1">
      <c r="H61" s="2" t="n"/>
      <c r="I61" s="2" t="n"/>
    </row>
    <row r="62">
      <c r="C62" s="473" t="inlineStr">
        <is>
          <t>合計額/380</t>
        </is>
      </c>
      <c r="D62" s="358">
        <f>SUM(G62)</f>
        <v/>
      </c>
      <c r="F62" s="360" t="inlineStr">
        <is>
          <t>売り上げ額</t>
        </is>
      </c>
      <c r="G62" s="362">
        <f>SUM(SUM(K4:K28))+SUM(#REF!)</f>
        <v/>
      </c>
      <c r="H62" s="465" t="n"/>
      <c r="I62" s="465" t="n"/>
      <c r="J62" s="467" t="n"/>
    </row>
    <row r="63" ht="14.25" customHeight="1" s="462" thickBot="1">
      <c r="C63" s="474" t="n"/>
      <c r="D63" s="475" t="n"/>
      <c r="F63" s="468" t="n"/>
      <c r="G63" s="476" t="n"/>
      <c r="H63" s="477" t="n"/>
      <c r="I63" s="477" t="n"/>
      <c r="J63" s="469" t="n"/>
    </row>
    <row r="64">
      <c r="C64" s="478" t="inlineStr">
        <is>
          <t>前日までの売上合計額</t>
        </is>
      </c>
      <c r="D64" s="479">
        <f>SUM(B73)</f>
        <v/>
      </c>
      <c r="H64" s="2" t="n"/>
      <c r="I64" s="2" t="n"/>
    </row>
    <row r="65" ht="14.25" customHeight="1" s="462" thickBot="1">
      <c r="C65" s="480" t="n"/>
      <c r="D65" s="480" t="n"/>
      <c r="F65" s="420" t="inlineStr">
        <is>
          <t>金井（55)</t>
        </is>
      </c>
      <c r="G65" s="345" t="n"/>
      <c r="H65" s="466" t="n"/>
      <c r="I65" s="130" t="n"/>
    </row>
    <row r="66" ht="14.25" customHeight="1" s="462" thickTop="1">
      <c r="D66" s="346">
        <f>D62+D64</f>
        <v/>
      </c>
      <c r="F66" s="420" t="inlineStr">
        <is>
          <t>粟津(55)</t>
        </is>
      </c>
      <c r="G66" s="340" t="n"/>
      <c r="H66" s="466" t="n"/>
      <c r="I66" s="131" t="n"/>
    </row>
    <row r="67">
      <c r="F67" s="420" t="inlineStr">
        <is>
          <t>砂川(50)</t>
        </is>
      </c>
      <c r="G67" s="340" t="n"/>
      <c r="H67" s="466" t="n"/>
      <c r="I67" s="131" t="n"/>
    </row>
    <row r="68">
      <c r="C68" s="2" t="inlineStr">
        <is>
          <t>高代</t>
        </is>
      </c>
      <c r="F68" s="420" t="inlineStr">
        <is>
          <t>前川(50)</t>
        </is>
      </c>
      <c r="G68" s="340" t="n"/>
      <c r="H68" s="466" t="n"/>
      <c r="I68" s="131" t="n"/>
    </row>
    <row r="69">
      <c r="C69" s="2" t="inlineStr">
        <is>
          <t>返還代</t>
        </is>
      </c>
      <c r="F69" s="420" t="inlineStr">
        <is>
          <t>佐藤(50)</t>
        </is>
      </c>
      <c r="G69" s="345" t="n"/>
      <c r="H69" s="466" t="n"/>
      <c r="I69" s="130" t="n"/>
    </row>
    <row r="70">
      <c r="C70" s="2" t="inlineStr">
        <is>
          <t>回収率</t>
        </is>
      </c>
      <c r="D70" s="50">
        <f>D69/D68</f>
        <v/>
      </c>
      <c r="F70" s="420" t="inlineStr">
        <is>
          <t>末次(55)</t>
        </is>
      </c>
      <c r="G70" s="340" t="n"/>
      <c r="H70" s="466" t="n"/>
      <c r="I70" s="131" t="n"/>
    </row>
    <row r="71">
      <c r="C71" s="2" t="inlineStr">
        <is>
          <t>費</t>
        </is>
      </c>
      <c r="D71" s="2">
        <f>D68-D69</f>
        <v/>
      </c>
      <c r="F71" s="420" t="inlineStr">
        <is>
          <t>筒井(75)</t>
        </is>
      </c>
      <c r="G71" s="340" t="n"/>
      <c r="H71" s="466" t="n"/>
      <c r="I71" s="131" t="n"/>
    </row>
    <row r="72">
      <c r="F72" s="420" t="inlineStr">
        <is>
          <t>山岸(40)</t>
        </is>
      </c>
      <c r="G72" s="340" t="n"/>
      <c r="H72" s="466" t="n"/>
      <c r="I72" s="131" t="n"/>
    </row>
    <row r="73" ht="17.25" customHeight="1" s="462">
      <c r="B73" s="71" t="n"/>
      <c r="F73" s="420" t="inlineStr">
        <is>
          <t>多苗(30)</t>
        </is>
      </c>
      <c r="G73" s="340" t="n"/>
      <c r="H73" s="466" t="n"/>
      <c r="I73" s="131" t="n"/>
      <c r="L73" s="2" t="inlineStr">
        <is>
          <t> </t>
        </is>
      </c>
    </row>
    <row r="74">
      <c r="H74" s="2" t="n"/>
      <c r="I74" s="2" t="n"/>
    </row>
    <row r="75">
      <c r="H75" s="2" t="n"/>
      <c r="I75" s="2" t="n"/>
    </row>
    <row r="77" ht="23.25" customHeight="1" s="462"/>
  </sheetData>
  <mergeCells count="55">
    <mergeCell ref="K36:K37"/>
    <mergeCell ref="Q25:R25"/>
    <mergeCell ref="D56:J56"/>
    <mergeCell ref="Q3:R3"/>
    <mergeCell ref="Q21:R21"/>
    <mergeCell ref="K33:K34"/>
    <mergeCell ref="D58:J58"/>
    <mergeCell ref="E33:F33"/>
    <mergeCell ref="Q28:R28"/>
    <mergeCell ref="G71:H71"/>
    <mergeCell ref="Q24:R24"/>
    <mergeCell ref="G67:H67"/>
    <mergeCell ref="D55:J55"/>
    <mergeCell ref="E48:F48"/>
    <mergeCell ref="G70:H70"/>
    <mergeCell ref="E39:F39"/>
    <mergeCell ref="H33:J34"/>
    <mergeCell ref="D51:J51"/>
    <mergeCell ref="E44:F44"/>
    <mergeCell ref="E35:F35"/>
    <mergeCell ref="B2:C2"/>
    <mergeCell ref="E38:F38"/>
    <mergeCell ref="D54:J54"/>
    <mergeCell ref="G62:J63"/>
    <mergeCell ref="D66:D67"/>
    <mergeCell ref="D59:J59"/>
    <mergeCell ref="Q5:R5"/>
    <mergeCell ref="Q20:R20"/>
    <mergeCell ref="Q23:R23"/>
    <mergeCell ref="G66:H66"/>
    <mergeCell ref="K31:K32"/>
    <mergeCell ref="G69:H69"/>
    <mergeCell ref="E31:F31"/>
    <mergeCell ref="Q4:R4"/>
    <mergeCell ref="D62:D63"/>
    <mergeCell ref="E34:F34"/>
    <mergeCell ref="F62:F63"/>
    <mergeCell ref="H31:J32"/>
    <mergeCell ref="G68:H68"/>
    <mergeCell ref="D52:J52"/>
    <mergeCell ref="E45:F45"/>
    <mergeCell ref="D64:D65"/>
    <mergeCell ref="Q22:R22"/>
    <mergeCell ref="E36:F36"/>
    <mergeCell ref="D57:J57"/>
    <mergeCell ref="G65:H65"/>
    <mergeCell ref="H36:J37"/>
    <mergeCell ref="C62:C63"/>
    <mergeCell ref="G73:H73"/>
    <mergeCell ref="E32:F32"/>
    <mergeCell ref="D53:J53"/>
    <mergeCell ref="E37:F37"/>
    <mergeCell ref="C64:C65"/>
    <mergeCell ref="E47:F47"/>
    <mergeCell ref="G72:H72"/>
  </mergeCells>
  <conditionalFormatting sqref="L3:L28">
    <cfRule type="cellIs" priority="3" operator="greaterThan" dxfId="0">
      <formula>30</formula>
    </cfRule>
  </conditionalFormatting>
  <conditionalFormatting sqref="K33:K3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36">
    <cfRule type="containsText" priority="6" operator="containsText" dxfId="3" text="～">
      <formula>NOT(ISERROR(SEARCH("～",D5)))</formula>
    </cfRule>
  </conditionalFormatting>
  <pageMargins left="0.7086614173228347" right="0.7086614173228347" top="0.5511811023622047" bottom="0.5511811023622047" header="0.3149606299212598" footer="0.3149606299212598"/>
  <pageSetup orientation="landscape" paperSize="9" horizontalDpi="1200" verticalDpi="1200"/>
</worksheet>
</file>

<file path=xl/worksheets/sheet33.xml><?xml version="1.0" encoding="utf-8"?>
<worksheet xmlns="http://schemas.openxmlformats.org/spreadsheetml/2006/main">
  <sheetPr codeName="Sheet34">
    <outlinePr summaryBelow="1" summaryRight="1"/>
    <pageSetUpPr/>
  </sheetPr>
  <dimension ref="A1:R73"/>
  <sheetViews>
    <sheetView zoomScaleNormal="100" workbookViewId="0">
      <selection activeCell="H17" sqref="H1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79" min="8" max="9"/>
    <col width="6.625" customWidth="1" style="2" min="10" max="10"/>
    <col width="20.25" customWidth="1" style="77" min="11" max="11"/>
    <col width="8.75" customWidth="1" style="2" min="12" max="16384"/>
  </cols>
  <sheetData>
    <row r="1"/>
    <row r="2" ht="26.25" customHeight="1" s="462" thickBot="1">
      <c r="B2" s="488" t="n">
        <v>46191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inlineStr">
        <is>
          <t>前田：休み</t>
        </is>
      </c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16.5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80" t="n"/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36" customHeight="1" s="462">
      <c r="A9" s="423">
        <f>IF(B9="","",COUNTA($B$5:B9))</f>
        <v/>
      </c>
      <c r="B9" s="57" t="n"/>
      <c r="C9" s="63" t="n"/>
      <c r="D9" s="441" t="n"/>
      <c r="E9" s="64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1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420" t="n"/>
      <c r="D12" s="63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</row>
    <row r="13" ht="15.75" customHeight="1" s="462">
      <c r="A13" s="423">
        <f>IF(B13="","",COUNTA($B$5:B13))</f>
        <v/>
      </c>
      <c r="B13" s="441" t="n"/>
      <c r="C13" s="440" t="n"/>
      <c r="D13" s="441" t="n"/>
      <c r="E13" s="440" t="n"/>
      <c r="F13" s="57" t="n"/>
      <c r="G13" s="65" t="n"/>
      <c r="H13" s="74" t="n"/>
      <c r="I13" s="74" t="n"/>
      <c r="J13" s="420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</row>
    <row r="14" ht="27" customHeight="1" s="462">
      <c r="A14" s="423">
        <f>IF(B14="","",COUNTA($B$5:B14))</f>
        <v/>
      </c>
      <c r="B14" s="441" t="n"/>
      <c r="C14" s="440" t="n"/>
      <c r="D14" s="441" t="n"/>
      <c r="E14" s="440" t="n"/>
      <c r="F14" s="57" t="n"/>
      <c r="G14" s="65" t="n"/>
      <c r="H14" s="80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441" t="n"/>
      <c r="C15" s="440" t="n"/>
      <c r="D15" s="441" t="n"/>
      <c r="E15" s="440" t="n"/>
      <c r="F15" s="57" t="n"/>
      <c r="G15" s="65" t="n"/>
      <c r="H15" s="80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441" t="n"/>
      <c r="C16" s="440" t="n"/>
      <c r="D16" s="441" t="n"/>
      <c r="E16" s="440" t="n"/>
      <c r="F16" s="57" t="n"/>
      <c r="G16" s="65" t="n"/>
      <c r="H16" s="80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.75" customHeight="1" s="462">
      <c r="A17" s="423">
        <f>IF(B17="","",COUNTA($B$5:B17))</f>
        <v/>
      </c>
      <c r="B17" s="441" t="n"/>
      <c r="C17" s="440" t="n"/>
      <c r="D17" s="441" t="n"/>
      <c r="E17" s="440" t="n"/>
      <c r="F17" s="57" t="n"/>
      <c r="G17" s="65" t="n"/>
      <c r="H17" s="80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.75" customHeight="1" s="462">
      <c r="A18" s="423" t="n"/>
      <c r="B18" s="441" t="n"/>
      <c r="C18" s="440" t="n"/>
      <c r="D18" s="441" t="n"/>
      <c r="E18" s="440" t="n"/>
      <c r="F18" s="57" t="n"/>
      <c r="G18" s="65" t="n"/>
      <c r="H18" s="80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.75" customHeight="1" s="462">
      <c r="A19" s="423" t="n"/>
      <c r="B19" s="441" t="n"/>
      <c r="C19" s="440" t="n"/>
      <c r="D19" s="441" t="n"/>
      <c r="E19" s="440" t="n"/>
      <c r="F19" s="57" t="n"/>
      <c r="G19" s="65" t="n"/>
      <c r="H19" s="80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27.75" customHeight="1" s="462">
      <c r="A20" s="423" t="n"/>
      <c r="B20" s="441" t="n"/>
      <c r="C20" s="440" t="n"/>
      <c r="D20" s="441" t="n"/>
      <c r="E20" s="440" t="n"/>
      <c r="F20" s="57" t="n"/>
      <c r="G20" s="65" t="n"/>
      <c r="H20" s="80" t="n"/>
      <c r="I20" s="80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  <c r="R20" s="449" t="n"/>
    </row>
    <row r="21" ht="27.75" customHeight="1" s="462">
      <c r="A21" s="423" t="n"/>
      <c r="B21" s="441" t="n"/>
      <c r="C21" s="440" t="n"/>
      <c r="D21" s="441" t="n"/>
      <c r="E21" s="440" t="n"/>
      <c r="F21" s="57" t="n"/>
      <c r="G21" s="65" t="n"/>
      <c r="H21" s="80" t="n"/>
      <c r="I21" s="80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  <c r="R21" s="449" t="n"/>
    </row>
    <row r="22" ht="27.75" customHeight="1" s="462">
      <c r="A22" s="423" t="n"/>
      <c r="B22" s="441" t="n"/>
      <c r="C22" s="440" t="n"/>
      <c r="D22" s="441" t="n"/>
      <c r="E22" s="440" t="n"/>
      <c r="F22" s="57" t="n"/>
      <c r="G22" s="65" t="n"/>
      <c r="H22" s="80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.75" customHeight="1" s="462">
      <c r="A23" s="423">
        <f>IF(B23="","",COUNTA($B$5:B23))</f>
        <v/>
      </c>
      <c r="B23" s="441" t="n"/>
      <c r="C23" s="63" t="n"/>
      <c r="D23" s="440" t="n"/>
      <c r="E23" s="441" t="n"/>
      <c r="F23" s="57" t="n"/>
      <c r="G23" s="59" t="n"/>
      <c r="H23" s="60" t="n"/>
      <c r="I23" s="60" t="n"/>
      <c r="J23" s="57" t="n"/>
      <c r="K23" s="73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.75" customHeight="1" s="462">
      <c r="A24" s="423">
        <f>IF(B24="","",COUNTA($B$5:B24))</f>
        <v/>
      </c>
      <c r="B24" s="441" t="n"/>
      <c r="C24" s="63" t="n"/>
      <c r="D24" s="440" t="n"/>
      <c r="E24" s="441" t="n"/>
      <c r="F24" s="57" t="n"/>
      <c r="G24" s="59" t="n"/>
      <c r="H24" s="60" t="n"/>
      <c r="I24" s="60" t="n"/>
      <c r="J24" s="57" t="n"/>
      <c r="K24" s="73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  <c r="R24" s="449" t="n"/>
    </row>
    <row r="25" ht="27.75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  <c r="R25" s="449" t="n"/>
    </row>
    <row r="26" ht="27.75" customHeight="1" s="462">
      <c r="A26" s="423">
        <f>IF(B26="","",COUNTA($B$5:B26))</f>
        <v/>
      </c>
      <c r="B26" s="420" t="n"/>
      <c r="C26" s="420" t="n"/>
      <c r="D26" s="420" t="n"/>
      <c r="E26" s="420" t="n"/>
      <c r="F26" s="420" t="n"/>
      <c r="G26" s="69" t="n"/>
      <c r="H26" s="70" t="n"/>
      <c r="I26" s="70" t="n"/>
      <c r="J26" s="420" t="n"/>
      <c r="K26" s="2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</row>
    <row r="27" ht="27" customHeight="1" s="462">
      <c r="B27" s="18" t="n"/>
      <c r="C27" s="18" t="n"/>
      <c r="D27" s="18" t="n"/>
      <c r="E27" s="18" t="n"/>
      <c r="F27" s="18" t="n"/>
      <c r="G27" s="19" t="n"/>
      <c r="H27" s="33" t="n"/>
      <c r="I27" s="18" t="n"/>
      <c r="J27" s="18" t="n"/>
      <c r="K27" s="18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8" ht="27" customHeight="1" s="462" thickBot="1">
      <c r="H28" s="2" t="n"/>
      <c r="I28" s="2" t="n"/>
      <c r="K28" s="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9" ht="27" customHeight="1" s="462">
      <c r="B29" s="22" t="n"/>
      <c r="C29" s="25" t="n"/>
      <c r="D29" s="25" t="inlineStr">
        <is>
          <t>現在待機場所</t>
        </is>
      </c>
      <c r="E29" s="25" t="inlineStr">
        <is>
          <t>待機予定場所</t>
        </is>
      </c>
      <c r="F29" s="466" t="n"/>
      <c r="H29" s="375" t="inlineStr">
        <is>
          <t>目標距離</t>
        </is>
      </c>
      <c r="I29" s="465" t="n"/>
      <c r="J29" s="467" t="n"/>
      <c r="K29" s="377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0" ht="27" customHeight="1" s="462" thickBot="1">
      <c r="B30" s="26" t="inlineStr">
        <is>
          <t>2(255)</t>
        </is>
      </c>
      <c r="C30" s="21" t="inlineStr">
        <is>
          <t>山岸</t>
        </is>
      </c>
      <c r="D30" s="34" t="n"/>
      <c r="E30" s="34" t="n"/>
      <c r="F30" s="466" t="n"/>
      <c r="H30" s="468" t="n"/>
      <c r="I30" s="477" t="n"/>
      <c r="J30" s="469" t="n"/>
      <c r="K30" s="470" t="n"/>
    </row>
    <row r="31">
      <c r="B31" s="26" t="inlineStr">
        <is>
          <t>8(254)</t>
        </is>
      </c>
      <c r="C31" s="21" t="inlineStr">
        <is>
          <t>砂川</t>
        </is>
      </c>
      <c r="D31" s="35" t="n"/>
      <c r="E31" s="35" t="n"/>
      <c r="F31" s="466" t="n"/>
      <c r="H31" s="368" t="inlineStr">
        <is>
          <t>残距離</t>
        </is>
      </c>
      <c r="J31" s="471" t="n"/>
      <c r="K31" s="354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14.25" customHeight="1" s="462" thickBot="1">
      <c r="B32" s="26" t="inlineStr">
        <is>
          <t>9(256)</t>
        </is>
      </c>
      <c r="C32" s="21" t="inlineStr">
        <is>
          <t>前川</t>
        </is>
      </c>
      <c r="D32" s="35" t="n"/>
      <c r="E32" s="35" t="n"/>
      <c r="F32" s="466" t="n"/>
      <c r="H32" s="468" t="n"/>
      <c r="I32" s="477" t="n"/>
      <c r="J32" s="469" t="n"/>
      <c r="K32" s="472" t="n"/>
    </row>
    <row r="33" ht="14.25" customHeight="1" s="462" thickBot="1">
      <c r="B33" s="26" t="inlineStr">
        <is>
          <t>10(257)</t>
        </is>
      </c>
      <c r="C33" s="35" t="n"/>
      <c r="D33" s="35" t="n"/>
      <c r="E33" s="35" t="n"/>
      <c r="F33" s="466" t="n"/>
      <c r="H33" s="2" t="n"/>
      <c r="I33" s="2" t="n"/>
      <c r="K33" s="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>
      <c r="B34" s="26" t="inlineStr">
        <is>
          <t>11(258)</t>
        </is>
      </c>
      <c r="C34" s="21" t="inlineStr">
        <is>
          <t>郡司</t>
        </is>
      </c>
      <c r="D34" s="35" t="n"/>
      <c r="E34" s="35" t="n"/>
      <c r="F34" s="466" t="n"/>
      <c r="H34" s="350" t="inlineStr">
        <is>
          <t>依頼件数</t>
        </is>
      </c>
      <c r="I34" s="465" t="n"/>
      <c r="J34" s="467" t="n"/>
      <c r="K34" s="354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5" ht="14.25" customHeight="1" s="462" thickBot="1">
      <c r="B35" s="26" t="inlineStr">
        <is>
          <t>12(736)</t>
        </is>
      </c>
      <c r="C35" s="21" t="n"/>
      <c r="D35" s="35" t="n"/>
      <c r="E35" s="35" t="n"/>
      <c r="F35" s="466" t="n"/>
      <c r="H35" s="468" t="n"/>
      <c r="I35" s="477" t="n"/>
      <c r="J35" s="469" t="n"/>
      <c r="K35" s="472" t="n"/>
    </row>
    <row r="36" ht="17.25" customHeight="1" s="462">
      <c r="B36" s="26" t="inlineStr">
        <is>
          <t>13(737)</t>
        </is>
      </c>
      <c r="C36" s="21" t="n"/>
      <c r="D36" s="35" t="n"/>
      <c r="E36" s="35" t="n"/>
      <c r="F36" s="466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7.25" customHeight="1" s="462">
      <c r="B37" s="40" t="inlineStr">
        <is>
          <t>14(738)</t>
        </is>
      </c>
      <c r="C37" s="21" t="inlineStr">
        <is>
          <t>辻井</t>
        </is>
      </c>
      <c r="D37" s="35" t="n"/>
      <c r="E37" s="35" t="n"/>
      <c r="F37" s="466" t="n"/>
      <c r="H37" s="38" t="n"/>
      <c r="I37" s="38" t="n"/>
      <c r="J37" s="38" t="n"/>
      <c r="K37" s="39" t="n"/>
    </row>
    <row r="38" ht="17.25" customHeight="1" s="462">
      <c r="B38" s="41" t="n"/>
      <c r="C38" s="42" t="n"/>
      <c r="D38" s="43" t="n"/>
      <c r="E38" s="44" t="n"/>
      <c r="F38" s="349" t="n"/>
      <c r="H38" s="38" t="n"/>
      <c r="I38" s="38" t="n"/>
      <c r="J38" s="38" t="n"/>
      <c r="K38" s="39" t="n"/>
    </row>
    <row r="39" ht="17.25" customHeight="1" s="462">
      <c r="B39" s="45" t="n">
        <v>7290</v>
      </c>
      <c r="C39" s="21" t="inlineStr">
        <is>
          <t>佐藤</t>
        </is>
      </c>
      <c r="D39" s="35" t="n"/>
      <c r="E39" s="348" t="n"/>
      <c r="F39" s="349" t="n"/>
      <c r="H39" s="38" t="n"/>
      <c r="I39" s="38" t="n"/>
      <c r="J39" s="38" t="n"/>
      <c r="K39" s="39" t="n"/>
    </row>
    <row r="40" ht="16.5" customHeight="1" s="462">
      <c r="B40" s="45" t="n">
        <v>7291</v>
      </c>
      <c r="C40" s="21" t="inlineStr">
        <is>
          <t>末次</t>
        </is>
      </c>
      <c r="D40" s="35" t="n"/>
      <c r="E40" s="348" t="n"/>
      <c r="F40" s="349" t="n"/>
      <c r="H40" s="38" t="n"/>
      <c r="I40" s="38" t="n"/>
      <c r="J40" s="38" t="n"/>
      <c r="K40" s="39" t="n"/>
    </row>
    <row r="41" ht="16.5" customHeight="1" s="462">
      <c r="B41" s="41" t="n"/>
      <c r="C41" s="42" t="n"/>
      <c r="D41" s="44" t="n"/>
      <c r="E41" s="44" t="n"/>
      <c r="F41" s="349" t="n"/>
      <c r="H41" s="38" t="n"/>
      <c r="I41" s="38" t="n"/>
      <c r="J41" s="38" t="n"/>
      <c r="K41" s="39" t="n"/>
    </row>
    <row r="42" ht="8.25" customHeight="1" s="462">
      <c r="B42" s="45" t="n">
        <v>333</v>
      </c>
      <c r="C42" s="21" t="inlineStr">
        <is>
          <t>金井/奥田</t>
        </is>
      </c>
      <c r="D42" s="35" t="n"/>
      <c r="E42" s="484" t="n"/>
      <c r="F42" s="469" t="n"/>
      <c r="H42" s="38" t="n"/>
      <c r="I42" s="38" t="n"/>
      <c r="J42" s="38" t="n"/>
      <c r="K42" s="39" t="n"/>
    </row>
    <row r="43" ht="17.25" customHeight="1" s="462">
      <c r="B43" s="46" t="n">
        <v>666</v>
      </c>
      <c r="C43" s="21" t="inlineStr">
        <is>
          <t>徳留</t>
        </is>
      </c>
      <c r="D43" s="35" t="n"/>
      <c r="E43" s="35" t="n"/>
      <c r="F43" s="466" t="n"/>
      <c r="H43" s="38" t="n"/>
      <c r="I43" s="38" t="n"/>
      <c r="J43" s="38" t="n"/>
      <c r="K43" s="39" t="n"/>
    </row>
    <row r="44" ht="17.25" customHeight="1" s="462">
      <c r="B44" s="46" t="n">
        <v>777</v>
      </c>
      <c r="C44" s="21" t="n"/>
      <c r="D44" s="35" t="n"/>
      <c r="E44" s="348" t="n"/>
      <c r="F44" s="349" t="n"/>
      <c r="H44" s="38" t="n"/>
      <c r="I44" s="38" t="n"/>
      <c r="J44" s="38" t="n"/>
      <c r="K44" s="39" t="n"/>
    </row>
    <row r="45" ht="9" customHeight="1" s="462">
      <c r="B45" s="47" t="n">
        <v>330</v>
      </c>
      <c r="C45" s="21" t="n"/>
      <c r="D45" s="35" t="n"/>
      <c r="E45" s="35" t="n"/>
      <c r="F45" s="466" t="n"/>
      <c r="H45" s="38" t="n"/>
      <c r="I45" s="38" t="n"/>
      <c r="J45" s="38" t="n"/>
      <c r="K45" s="39" t="n"/>
    </row>
    <row r="46" ht="16.5" customHeight="1" s="462">
      <c r="B46" s="47" t="n">
        <v>990</v>
      </c>
      <c r="C46" s="21" t="inlineStr">
        <is>
          <t>山原</t>
        </is>
      </c>
      <c r="D46" s="35" t="n"/>
      <c r="E46" s="35" t="n"/>
      <c r="F46" s="466" t="n"/>
      <c r="H46" s="38" t="n"/>
      <c r="I46" s="38" t="n"/>
      <c r="J46" s="38" t="n"/>
      <c r="K46" s="39" t="n"/>
    </row>
    <row r="47" ht="16.5" customHeight="1" s="462">
      <c r="H47" s="2" t="n"/>
      <c r="I47" s="2" t="n"/>
      <c r="K47" s="2" t="n"/>
    </row>
    <row r="48" ht="16.5" customHeight="1" s="462">
      <c r="C48" s="449" t="inlineStr">
        <is>
          <t>出発→到着</t>
        </is>
      </c>
      <c r="D48" s="420" t="inlineStr">
        <is>
          <t>備考</t>
        </is>
      </c>
      <c r="H48" s="2" t="n"/>
      <c r="I48" s="2" t="n"/>
      <c r="K48" s="2" t="n"/>
    </row>
    <row r="49" ht="16.5" customHeight="1" s="462">
      <c r="B49" s="27" t="inlineStr">
        <is>
          <t>①</t>
        </is>
      </c>
      <c r="C49" s="449" t="inlineStr">
        <is>
          <t>東→西</t>
        </is>
      </c>
      <c r="D49" s="485" t="inlineStr">
        <is>
          <t>①Aチーム優先</t>
        </is>
      </c>
      <c r="E49" s="486" t="n"/>
      <c r="F49" s="486" t="n"/>
      <c r="G49" s="486" t="n"/>
      <c r="H49" s="486" t="n"/>
      <c r="I49" s="486" t="n"/>
      <c r="J49" s="466" t="n"/>
      <c r="K49" s="2" t="n"/>
    </row>
    <row r="50" ht="16.5" customHeight="1" s="462">
      <c r="B50" s="27" t="inlineStr">
        <is>
          <t>②</t>
        </is>
      </c>
      <c r="C50" s="449" t="inlineStr">
        <is>
          <t>東→東</t>
        </is>
      </c>
      <c r="D50" s="485" t="inlineStr">
        <is>
          <t>②急ぎ案件の場合、道路状況も伝えてあげる。</t>
        </is>
      </c>
      <c r="E50" s="486" t="n"/>
      <c r="F50" s="486" t="n"/>
      <c r="G50" s="486" t="n"/>
      <c r="H50" s="486" t="n"/>
      <c r="I50" s="486" t="n"/>
      <c r="J50" s="466" t="n"/>
      <c r="K50" s="2" t="n"/>
    </row>
    <row r="51">
      <c r="B51" s="27" t="inlineStr">
        <is>
          <t>③</t>
        </is>
      </c>
      <c r="C51" s="449" t="inlineStr">
        <is>
          <t>西→東</t>
        </is>
      </c>
      <c r="D51" s="485" t="inlineStr">
        <is>
          <t>③各ドライバーの位置からの帰社のタイミング・夕方の配置</t>
        </is>
      </c>
      <c r="E51" s="486" t="n"/>
      <c r="F51" s="486" t="n"/>
      <c r="G51" s="486" t="n"/>
      <c r="H51" s="486" t="n"/>
      <c r="I51" s="486" t="n"/>
      <c r="J51" s="466" t="n"/>
      <c r="K51" s="2" t="n"/>
    </row>
    <row r="52">
      <c r="B52" s="27" t="inlineStr">
        <is>
          <t>④</t>
        </is>
      </c>
      <c r="C52" s="449" t="inlineStr">
        <is>
          <t>西→西</t>
        </is>
      </c>
      <c r="D52" s="485" t="inlineStr">
        <is>
          <t>④依頼を受ける際の、希望時間と現状の位置。行けるか行けないかの判断をしっかりと。</t>
        </is>
      </c>
      <c r="E52" s="486" t="n"/>
      <c r="F52" s="486" t="n"/>
      <c r="G52" s="486" t="n"/>
      <c r="H52" s="486" t="n"/>
      <c r="I52" s="486" t="n"/>
      <c r="J52" s="466" t="n"/>
      <c r="K52" s="2" t="n"/>
    </row>
    <row r="53">
      <c r="D53" s="485" t="inlineStr">
        <is>
          <t>⑤軽に乗るか乗らないかの判断に気を付ける。</t>
        </is>
      </c>
      <c r="E53" s="486" t="n"/>
      <c r="F53" s="486" t="n"/>
      <c r="G53" s="486" t="n"/>
      <c r="H53" s="486" t="n"/>
      <c r="I53" s="486" t="n"/>
      <c r="J53" s="466" t="n"/>
      <c r="K53" s="2" t="n"/>
    </row>
    <row r="54">
      <c r="B54" s="22" t="n"/>
      <c r="C54" s="420" t="inlineStr">
        <is>
          <t>現状配置(予測)</t>
        </is>
      </c>
      <c r="D54" s="485" t="inlineStr">
        <is>
          <t>⑥18/1日、1.8/1人、3件/1人</t>
        </is>
      </c>
      <c r="E54" s="486" t="n"/>
      <c r="F54" s="486" t="n"/>
      <c r="G54" s="486" t="n"/>
      <c r="H54" s="486" t="n"/>
      <c r="I54" s="486" t="n"/>
      <c r="J54" s="466" t="n"/>
      <c r="K54" s="2" t="n"/>
    </row>
    <row r="55">
      <c r="B55" s="420" t="inlineStr">
        <is>
          <t>西(神戸西・弥栄台)</t>
        </is>
      </c>
      <c r="C55" s="420" t="n"/>
      <c r="D55" s="485" t="inlineStr">
        <is>
          <t>⑦依頼書の見落とし(日付、入替、入出庫、場所）</t>
        </is>
      </c>
      <c r="E55" s="486" t="n"/>
      <c r="F55" s="486" t="n"/>
      <c r="G55" s="486" t="n"/>
      <c r="H55" s="486" t="n"/>
      <c r="I55" s="486" t="n"/>
      <c r="J55" s="466" t="n"/>
      <c r="K55" s="2" t="n"/>
    </row>
    <row r="56">
      <c r="B56" s="420" t="inlineStr">
        <is>
          <t>真ん中(摩耶・中央)</t>
        </is>
      </c>
      <c r="C56" s="420" t="n"/>
      <c r="D56" s="485" t="inlineStr">
        <is>
          <t>⑧3ｔ車と2ｔ車への振り方(西と東に振り分ける)</t>
        </is>
      </c>
      <c r="E56" s="486" t="n"/>
      <c r="F56" s="486" t="n"/>
      <c r="G56" s="486" t="n"/>
      <c r="H56" s="486" t="n"/>
      <c r="I56" s="486" t="n"/>
      <c r="J56" s="466" t="n"/>
      <c r="K56" s="2" t="n"/>
    </row>
    <row r="57">
      <c r="B57" s="420" t="inlineStr">
        <is>
          <t>東(尼崎・伊丹・西宮)</t>
        </is>
      </c>
      <c r="C57" s="420" t="n"/>
      <c r="D57" s="485" t="inlineStr">
        <is>
          <t>⑨</t>
        </is>
      </c>
      <c r="E57" s="486" t="n"/>
      <c r="F57" s="486" t="n"/>
      <c r="G57" s="486" t="n"/>
      <c r="H57" s="486" t="n"/>
      <c r="I57" s="486" t="n"/>
      <c r="J57" s="466" t="n"/>
      <c r="K57" s="2" t="n"/>
    </row>
    <row r="58">
      <c r="B58" s="48" t="inlineStr">
        <is>
          <t>極東(港区・淀屋橋)</t>
        </is>
      </c>
      <c r="C58" s="420" t="n"/>
      <c r="D58" s="49" t="n"/>
      <c r="E58" s="49" t="n"/>
      <c r="F58" s="49" t="n"/>
      <c r="G58" s="49" t="n"/>
      <c r="H58" s="49" t="n"/>
      <c r="I58" s="49" t="n"/>
      <c r="J58" s="49" t="n"/>
      <c r="K58" s="2" t="n"/>
    </row>
    <row r="59" ht="14.25" customHeight="1" s="462" thickBot="1">
      <c r="H59" s="2" t="n"/>
      <c r="I59" s="2" t="n"/>
      <c r="K59" s="2" t="n"/>
    </row>
    <row r="60">
      <c r="C60" s="473" t="inlineStr">
        <is>
          <t>合計額/380</t>
        </is>
      </c>
      <c r="D60" s="358">
        <f>SUM(G60)</f>
        <v/>
      </c>
      <c r="F60" s="360" t="inlineStr">
        <is>
          <t>売り上げ額</t>
        </is>
      </c>
      <c r="G60" s="362">
        <f>SUM(SUM(K4:K26))+SUM(#REF!)</f>
        <v/>
      </c>
      <c r="H60" s="465" t="n"/>
      <c r="I60" s="465" t="n"/>
      <c r="J60" s="467" t="n"/>
      <c r="K60" s="2" t="n"/>
    </row>
    <row r="61" ht="14.25" customHeight="1" s="462" thickBot="1">
      <c r="C61" s="474" t="n"/>
      <c r="D61" s="475" t="n"/>
      <c r="F61" s="468" t="n"/>
      <c r="G61" s="476" t="n"/>
      <c r="H61" s="477" t="n"/>
      <c r="I61" s="477" t="n"/>
      <c r="J61" s="469" t="n"/>
      <c r="K61" s="2" t="n"/>
    </row>
    <row r="62">
      <c r="C62" s="478" t="inlineStr">
        <is>
          <t>前日までの売上合計額</t>
        </is>
      </c>
      <c r="D62" s="479">
        <f>SUM(B71)</f>
        <v/>
      </c>
      <c r="H62" s="2" t="n"/>
      <c r="I62" s="2" t="n"/>
      <c r="K62" s="2" t="n"/>
    </row>
    <row r="63" ht="14.25" customHeight="1" s="462" thickBot="1">
      <c r="C63" s="480" t="n"/>
      <c r="D63" s="480" t="n"/>
      <c r="F63" s="420" t="inlineStr">
        <is>
          <t>金井（55)</t>
        </is>
      </c>
      <c r="G63" s="345" t="n"/>
      <c r="H63" s="466" t="n"/>
      <c r="I63" s="130" t="n"/>
      <c r="K63" s="2" t="n"/>
    </row>
    <row r="64" ht="14.25" customHeight="1" s="462" thickTop="1">
      <c r="D64" s="346">
        <f>D60+D62</f>
        <v/>
      </c>
      <c r="F64" s="420" t="inlineStr">
        <is>
          <t>粟津(55)</t>
        </is>
      </c>
      <c r="G64" s="340" t="n"/>
      <c r="H64" s="466" t="n"/>
      <c r="I64" s="131" t="n"/>
      <c r="K64" s="2" t="n"/>
    </row>
    <row r="65">
      <c r="F65" s="420" t="inlineStr">
        <is>
          <t>砂川(50)</t>
        </is>
      </c>
      <c r="G65" s="340" t="n"/>
      <c r="H65" s="466" t="n"/>
      <c r="I65" s="131" t="n"/>
      <c r="K65" s="2" t="n"/>
    </row>
    <row r="66">
      <c r="C66" s="2" t="inlineStr">
        <is>
          <t>高代</t>
        </is>
      </c>
      <c r="F66" s="420" t="inlineStr">
        <is>
          <t>前川(50)</t>
        </is>
      </c>
      <c r="G66" s="340" t="n"/>
      <c r="H66" s="466" t="n"/>
      <c r="I66" s="131" t="n"/>
      <c r="K66" s="2" t="n"/>
    </row>
    <row r="67">
      <c r="C67" s="2" t="inlineStr">
        <is>
          <t>返還代</t>
        </is>
      </c>
      <c r="F67" s="420" t="inlineStr">
        <is>
          <t>佐藤(50)</t>
        </is>
      </c>
      <c r="G67" s="345" t="n"/>
      <c r="H67" s="466" t="n"/>
      <c r="I67" s="130" t="n"/>
      <c r="K67" s="2" t="n"/>
    </row>
    <row r="68">
      <c r="C68" s="2" t="inlineStr">
        <is>
          <t>回収率</t>
        </is>
      </c>
      <c r="D68" s="50">
        <f>D67/D66</f>
        <v/>
      </c>
      <c r="F68" s="420" t="inlineStr">
        <is>
          <t>末次(55)</t>
        </is>
      </c>
      <c r="G68" s="340" t="n"/>
      <c r="H68" s="466" t="n"/>
      <c r="I68" s="131" t="n"/>
      <c r="K68" s="2" t="n"/>
    </row>
    <row r="69">
      <c r="C69" s="2" t="inlineStr">
        <is>
          <t>費</t>
        </is>
      </c>
      <c r="D69" s="2">
        <f>D66-D67</f>
        <v/>
      </c>
      <c r="F69" s="420" t="inlineStr">
        <is>
          <t>筒井(75)</t>
        </is>
      </c>
      <c r="G69" s="340" t="n"/>
      <c r="H69" s="466" t="n"/>
      <c r="I69" s="131" t="n"/>
      <c r="K69" s="2" t="n"/>
    </row>
    <row r="70">
      <c r="F70" s="420" t="inlineStr">
        <is>
          <t>山岸(40)</t>
        </is>
      </c>
      <c r="G70" s="340" t="n"/>
      <c r="H70" s="466" t="n"/>
      <c r="I70" s="131" t="n"/>
      <c r="K70" s="2" t="n"/>
    </row>
    <row r="71" ht="17.25" customHeight="1" s="462">
      <c r="B71" s="71" t="n"/>
      <c r="F71" s="420" t="inlineStr">
        <is>
          <t>多苗(30)</t>
        </is>
      </c>
      <c r="G71" s="340" t="n"/>
      <c r="H71" s="466" t="n"/>
      <c r="I71" s="131" t="n"/>
      <c r="K71" s="2" t="n"/>
      <c r="L71" s="2" t="inlineStr">
        <is>
          <t> </t>
        </is>
      </c>
    </row>
    <row r="72">
      <c r="H72" s="2" t="n"/>
      <c r="I72" s="2" t="n"/>
      <c r="K72" s="2" t="n"/>
    </row>
    <row r="73">
      <c r="H73" s="2" t="n"/>
      <c r="I73" s="2" t="n"/>
      <c r="K73" s="2" t="n"/>
    </row>
    <row r="75" ht="23.25" customHeight="1" s="462"/>
  </sheetData>
  <autoFilter ref="H2:H25"/>
  <mergeCells count="52">
    <mergeCell ref="E43:F43"/>
    <mergeCell ref="Q13:R13"/>
    <mergeCell ref="Q3:R3"/>
    <mergeCell ref="D56:J56"/>
    <mergeCell ref="Q12:R12"/>
    <mergeCell ref="E33:F33"/>
    <mergeCell ref="G71:H71"/>
    <mergeCell ref="E42:F42"/>
    <mergeCell ref="G67:H67"/>
    <mergeCell ref="D55:J55"/>
    <mergeCell ref="G70:H70"/>
    <mergeCell ref="D51:J51"/>
    <mergeCell ref="E35:F35"/>
    <mergeCell ref="B2:C2"/>
    <mergeCell ref="D54:J54"/>
    <mergeCell ref="D50:J50"/>
    <mergeCell ref="E29:F29"/>
    <mergeCell ref="Q5:R5"/>
    <mergeCell ref="Q23:R23"/>
    <mergeCell ref="H29:J30"/>
    <mergeCell ref="G66:H66"/>
    <mergeCell ref="Q26:R26"/>
    <mergeCell ref="K31:K32"/>
    <mergeCell ref="G69:H69"/>
    <mergeCell ref="E31:F31"/>
    <mergeCell ref="Q4:R4"/>
    <mergeCell ref="D62:D63"/>
    <mergeCell ref="E34:F34"/>
    <mergeCell ref="H31:J32"/>
    <mergeCell ref="E30:F30"/>
    <mergeCell ref="E46:F46"/>
    <mergeCell ref="G68:H68"/>
    <mergeCell ref="C60:C61"/>
    <mergeCell ref="D52:J52"/>
    <mergeCell ref="H34:J35"/>
    <mergeCell ref="E45:F45"/>
    <mergeCell ref="D64:D65"/>
    <mergeCell ref="D57:J57"/>
    <mergeCell ref="E36:F36"/>
    <mergeCell ref="G60:J61"/>
    <mergeCell ref="G65:H65"/>
    <mergeCell ref="D49:J49"/>
    <mergeCell ref="G64:H64"/>
    <mergeCell ref="K34:K35"/>
    <mergeCell ref="C62:C63"/>
    <mergeCell ref="E32:F32"/>
    <mergeCell ref="D60:D61"/>
    <mergeCell ref="D53:J53"/>
    <mergeCell ref="G63:H63"/>
    <mergeCell ref="F60:F61"/>
    <mergeCell ref="E37:F37"/>
    <mergeCell ref="K29:K30"/>
  </mergeCells>
  <conditionalFormatting sqref="L3:L26">
    <cfRule type="cellIs" priority="3" operator="greaterThan" dxfId="0">
      <formula>30</formula>
    </cfRule>
  </conditionalFormatting>
  <conditionalFormatting sqref="K31:K32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34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93"/>
  <sheetViews>
    <sheetView zoomScaleNormal="100" workbookViewId="0">
      <selection activeCell="J9" sqref="J9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4.12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79" min="8" max="9"/>
    <col width="6.625" customWidth="1" style="2" min="10" max="10"/>
    <col width="20.25" customWidth="1" style="77" min="11" max="11"/>
    <col width="8.75" customWidth="1" style="2" min="12" max="16384"/>
  </cols>
  <sheetData>
    <row r="1"/>
    <row r="2" ht="26.25" customHeight="1" s="462" thickBot="1">
      <c r="B2" s="488" t="n">
        <v>46191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inlineStr">
        <is>
          <t>郡司：10時出勤</t>
        </is>
      </c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54" customHeight="1" s="462">
      <c r="A5" s="423">
        <f>IF(B5="","",COUNTA($B$5:B5))</f>
        <v/>
      </c>
      <c r="B5" s="57" t="n"/>
      <c r="C5" s="63" t="n"/>
      <c r="D5" s="441" t="n"/>
      <c r="E5" s="259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30.75" customHeight="1" s="462">
      <c r="A6" s="423">
        <f>IF(B6="","",COUNTA($B$5:B6))</f>
        <v/>
      </c>
      <c r="B6" s="57" t="n"/>
      <c r="C6" s="64" t="n"/>
      <c r="D6" s="441" t="n"/>
      <c r="E6" s="441" t="n"/>
      <c r="F6" s="57" t="n"/>
      <c r="G6" s="59" t="n"/>
      <c r="H6" s="438" t="n"/>
      <c r="I6" s="295" t="n"/>
      <c r="J6" s="57" t="n"/>
      <c r="K6" s="72" t="n"/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441" t="n"/>
      <c r="D7" s="63" t="n"/>
      <c r="E7" s="441" t="n"/>
      <c r="F7" s="57" t="n"/>
      <c r="G7" s="59" t="n"/>
      <c r="H7" s="438" t="n"/>
      <c r="I7" s="295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40.5" customHeight="1" s="462">
      <c r="A8" s="423" t="n"/>
      <c r="B8" s="441" t="n"/>
      <c r="C8" s="63" t="n"/>
      <c r="D8" s="441" t="n"/>
      <c r="E8" s="441" t="n"/>
      <c r="F8" s="57" t="n"/>
      <c r="G8" s="59" t="n"/>
      <c r="H8" s="438" t="n"/>
      <c r="I8" s="295">
        <f>IFERROR(_xlfn.XLOOKUP(H8,案件・ドライバー一覧!$L$3:$L$17,案件・ドライバー一覧!$M$3:$M$17,""),"")</f>
        <v/>
      </c>
      <c r="J8" s="57" t="n"/>
      <c r="K8" s="72" t="n"/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4" t="n"/>
      <c r="D9" s="63" t="n"/>
      <c r="E9" s="441" t="n"/>
      <c r="F9" s="57" t="n"/>
      <c r="G9" s="207" t="n"/>
      <c r="H9" s="438" t="n"/>
      <c r="I9" s="295" t="n"/>
      <c r="J9" s="57" t="n"/>
      <c r="K9" s="73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</row>
    <row r="10" ht="30" customHeight="1" s="462">
      <c r="A10" s="423" t="n"/>
      <c r="B10" s="57" t="n"/>
      <c r="C10" s="64" t="n"/>
      <c r="D10" s="273" t="n"/>
      <c r="E10" s="441" t="n"/>
      <c r="F10" s="57" t="n"/>
      <c r="G10" s="309" t="n"/>
      <c r="H10" s="438" t="n"/>
      <c r="I10" s="295">
        <f>IFERROR(_xlfn.XLOOKUP(H10,案件・ドライバー一覧!$L$3:$L$17,案件・ドライバー一覧!$M$3:$M$17,""),"")</f>
        <v/>
      </c>
      <c r="J10" s="57" t="n"/>
      <c r="K10" s="72" t="n"/>
      <c r="L10" s="61" t="n"/>
      <c r="M10" s="449" t="n"/>
      <c r="N10" s="449" t="n"/>
      <c r="O10" s="449" t="n"/>
      <c r="P10" s="449" t="n"/>
      <c r="Q10" s="449" t="n"/>
      <c r="R10" s="449" t="n"/>
    </row>
    <row r="11" ht="27.75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4" t="n"/>
      <c r="D12" s="441" t="n"/>
      <c r="E12" s="64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6">
        <f>IFERROR(_xlfn.XLOOKUP(H13,案件・ドライバー一覧!$L$3:$L$17,案件・ドライバー一覧!$M$3:$M$17,""),"")</f>
        <v/>
      </c>
      <c r="J13" s="420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</row>
    <row r="14" ht="40.5" customHeight="1" s="462">
      <c r="A14" s="423">
        <f>IF(B14="","",COUNTA($B$5:B14))</f>
        <v/>
      </c>
      <c r="B14" s="57" t="n"/>
      <c r="C14" s="62" t="n"/>
      <c r="D14" s="441" t="n"/>
      <c r="E14" s="259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54" customHeight="1" s="462">
      <c r="A15" s="423">
        <f>IF(B15="","",COUNTA($B$5:B15))</f>
        <v/>
      </c>
      <c r="B15" s="57" t="n"/>
      <c r="C15" s="63" t="n"/>
      <c r="D15" s="441" t="n"/>
      <c r="E15" s="259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295">
        <f>IFERROR(_xlfn.XLOOKUP(H16,案件・ドライバー一覧!$L$3:$L$17,案件・ドライバー一覧!$M$3:$M$17,""),"")</f>
        <v/>
      </c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295">
        <f>IFERROR(_xlfn.XLOOKUP(H17,案件・ドライバー一覧!$L$3:$L$17,案件・ドライバー一覧!$M$3:$M$17,""),"")</f>
        <v/>
      </c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40.5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438" t="n"/>
      <c r="I18" s="295">
        <f>IFERROR(_xlfn.XLOOKUP(H18,案件・ドライバー一覧!$L$3:$L$17,案件・ドライバー一覧!$M$3:$M$17,""),"")</f>
        <v/>
      </c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16.5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438" t="n"/>
      <c r="I19" s="30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27" customHeight="1" s="462">
      <c r="A20" s="423">
        <f>IF(B20="","",COUNTA($B$5:B20))</f>
        <v/>
      </c>
      <c r="B20" s="57" t="n"/>
      <c r="C20" s="441" t="n"/>
      <c r="D20" s="63" t="n"/>
      <c r="E20" s="441" t="n"/>
      <c r="F20" s="57" t="n"/>
      <c r="G20" s="59" t="n"/>
      <c r="H20" s="438" t="n"/>
      <c r="I20" s="308" t="n"/>
      <c r="J20" s="57" t="n"/>
      <c r="K20" s="72" t="n"/>
      <c r="L20" s="61" t="n"/>
      <c r="M20" s="449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63" t="n"/>
      <c r="D21" s="441" t="n"/>
      <c r="E21" s="441" t="n"/>
      <c r="F21" s="57" t="n"/>
      <c r="G21" s="65" t="n"/>
      <c r="H21" s="438" t="n"/>
      <c r="I21" s="308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  <c r="R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65" t="n"/>
      <c r="H22" s="438" t="n"/>
      <c r="I22" s="308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441" t="n"/>
      <c r="D23" s="441" t="n"/>
      <c r="E23" s="441" t="n"/>
      <c r="F23" s="57" t="n"/>
      <c r="G23" s="65" t="n"/>
      <c r="H23" s="438" t="n"/>
      <c r="I23" s="308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  <c r="R23" s="449" t="n"/>
    </row>
    <row r="24" ht="28.5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308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308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  <c r="R25" s="449" t="n"/>
    </row>
    <row r="26" ht="27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308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308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  <c r="R27" s="449" t="n"/>
    </row>
    <row r="28" ht="27" customHeight="1" s="462">
      <c r="A28" s="423">
        <f>IF(B28="","",COUNTA($B$5:B28))</f>
        <v/>
      </c>
      <c r="B28" s="57" t="n"/>
      <c r="C28" s="63" t="n"/>
      <c r="D28" s="441" t="n"/>
      <c r="E28" s="441" t="n"/>
      <c r="F28" s="57" t="n"/>
      <c r="G28" s="65" t="n"/>
      <c r="H28" s="438" t="n"/>
      <c r="I28" s="308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  <c r="R28" s="449" t="n"/>
    </row>
    <row r="29" ht="27" customHeight="1" s="462">
      <c r="A29" s="423">
        <f>IF(B29="","",COUNTA($B$5:B29))</f>
        <v/>
      </c>
      <c r="B29" s="57" t="n"/>
      <c r="C29" s="63" t="n"/>
      <c r="D29" s="441" t="n"/>
      <c r="E29" s="441" t="n"/>
      <c r="F29" s="57" t="n"/>
      <c r="G29" s="65" t="n"/>
      <c r="H29" s="438" t="n"/>
      <c r="I29" s="308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  <c r="R29" s="449" t="n"/>
    </row>
    <row r="30" ht="15.75" customHeight="1" s="462">
      <c r="A30" s="423">
        <f>IF(B30="","",COUNTA($B$5:B30))</f>
        <v/>
      </c>
      <c r="B30" s="57" t="n"/>
      <c r="C30" s="63" t="n"/>
      <c r="D30" s="441" t="n"/>
      <c r="E30" s="441" t="n"/>
      <c r="F30" s="57" t="n"/>
      <c r="G30" s="65" t="n"/>
      <c r="H30" s="438" t="n"/>
      <c r="I30" s="307" t="n"/>
      <c r="J30" s="57" t="n"/>
      <c r="K30" s="7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M30" s="449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IF(B31="","",COUNTA($B$5:B31))</f>
        <v/>
      </c>
      <c r="B31" s="57" t="n"/>
      <c r="C31" s="63" t="n"/>
      <c r="D31" s="441" t="n"/>
      <c r="E31" s="441" t="n"/>
      <c r="F31" s="57" t="n"/>
      <c r="G31" s="65" t="n"/>
      <c r="H31" s="438" t="n"/>
      <c r="I31" s="308" t="n"/>
      <c r="J31" s="57" t="n"/>
      <c r="K31" s="7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  <c r="O31" s="449" t="n"/>
      <c r="P31" s="449" t="n"/>
      <c r="Q31" s="449" t="n"/>
      <c r="R31" s="449" t="n"/>
    </row>
    <row r="32" ht="27" customHeight="1" s="462">
      <c r="A32" s="423">
        <f>IF(B32="","",COUNTA($B$5:B32))</f>
        <v/>
      </c>
      <c r="B32" s="57" t="n"/>
      <c r="C32" s="63" t="n"/>
      <c r="D32" s="441" t="n"/>
      <c r="E32" s="441" t="n"/>
      <c r="F32" s="57" t="n"/>
      <c r="G32" s="65" t="n"/>
      <c r="H32" s="438" t="n"/>
      <c r="I32" s="308" t="n"/>
      <c r="J32" s="57" t="n"/>
      <c r="K32" s="72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M32" s="449" t="n"/>
      <c r="N32" s="449" t="n"/>
      <c r="O32" s="449" t="n"/>
      <c r="P32" s="449" t="n"/>
      <c r="Q32" s="449" t="n"/>
      <c r="R32" s="449" t="n"/>
    </row>
    <row r="33" ht="27" customHeight="1" s="462">
      <c r="A33" s="423">
        <f>IF(B33="","",COUNTA($B$5:B33))</f>
        <v/>
      </c>
      <c r="B33" s="57" t="n"/>
      <c r="C33" s="62" t="n"/>
      <c r="D33" s="63" t="n"/>
      <c r="E33" s="441" t="n"/>
      <c r="F33" s="57" t="n"/>
      <c r="G33" s="66" t="n"/>
      <c r="H33" s="438" t="n"/>
      <c r="I33" s="308" t="n"/>
      <c r="J33" s="57" t="n"/>
      <c r="K33" s="73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  <c r="O33" s="449" t="n"/>
      <c r="P33" s="449" t="n"/>
      <c r="Q33" s="449" t="n"/>
    </row>
    <row r="34" ht="36" customHeight="1" s="462">
      <c r="A34" s="423">
        <f>IF(B34="","",COUNTA($B$5:B34))</f>
        <v/>
      </c>
      <c r="B34" s="57" t="n"/>
      <c r="C34" s="63" t="n"/>
      <c r="D34" s="64" t="n"/>
      <c r="E34" s="62" t="n"/>
      <c r="F34" s="57" t="n"/>
      <c r="G34" s="247" t="n"/>
      <c r="H34" s="438" t="n"/>
      <c r="I34" s="308" t="n"/>
      <c r="J34" s="420" t="n"/>
      <c r="K34" s="73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M34" s="449" t="n"/>
      <c r="N34" s="449" t="n"/>
      <c r="O34" s="449" t="n"/>
      <c r="P34" s="449" t="n"/>
      <c r="Q34" s="449" t="n"/>
    </row>
    <row r="35" ht="27" customHeight="1" s="462">
      <c r="A35" s="423">
        <f>IF(B35="","",COUNTA($B$5:B35))</f>
        <v/>
      </c>
      <c r="B35" s="57" t="n"/>
      <c r="C35" s="63" t="n"/>
      <c r="D35" s="64" t="n"/>
      <c r="E35" s="57" t="n"/>
      <c r="F35" s="57" t="n"/>
      <c r="G35" s="66" t="n"/>
      <c r="H35" s="438" t="n"/>
      <c r="I35" s="308" t="n"/>
      <c r="J35" s="57" t="n"/>
      <c r="K35" s="7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M35" s="449" t="n"/>
      <c r="N35" s="449" t="n"/>
      <c r="O35" s="449" t="n"/>
      <c r="P35" s="449" t="n"/>
      <c r="Q35" s="449" t="n"/>
      <c r="R35" s="449" t="n"/>
    </row>
    <row r="36" ht="27" customHeight="1" s="462">
      <c r="A36" s="423">
        <f>IF(B36="","",COUNTA($B$5:B36))</f>
        <v/>
      </c>
      <c r="B36" s="57" t="n"/>
      <c r="C36" s="64" t="n"/>
      <c r="D36" s="441" t="n"/>
      <c r="E36" s="63" t="n"/>
      <c r="F36" s="441" t="n"/>
      <c r="G36" s="59" t="n"/>
      <c r="H36" s="438" t="n"/>
      <c r="I36" s="308" t="n"/>
      <c r="J36" s="57" t="n"/>
      <c r="K36" s="72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M36" s="449" t="n"/>
      <c r="N36" s="449" t="n"/>
      <c r="O36" s="449" t="n"/>
      <c r="P36" s="449" t="n"/>
      <c r="Q36" s="449" t="n"/>
    </row>
    <row r="37" ht="27" customHeight="1" s="462">
      <c r="A37" s="423">
        <f>IF(B37="","",COUNTA($B$5:B37))</f>
        <v/>
      </c>
      <c r="B37" s="57" t="n"/>
      <c r="C37" s="63" t="n"/>
      <c r="D37" s="441" t="n"/>
      <c r="E37" s="441" t="n"/>
      <c r="F37" s="441" t="n"/>
      <c r="G37" s="134" t="n"/>
      <c r="H37" s="438" t="n"/>
      <c r="I37" s="308" t="n"/>
      <c r="J37" s="57" t="n"/>
      <c r="K37" s="72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M37" s="449" t="n"/>
      <c r="N37" s="449" t="n"/>
      <c r="O37" s="449" t="n"/>
      <c r="P37" s="449" t="n"/>
      <c r="Q37" s="449" t="n"/>
    </row>
    <row r="38" ht="27.75" customHeight="1" s="462">
      <c r="A38" s="423">
        <f>IF(B38="","",COUNTA($B$5:B38))</f>
        <v/>
      </c>
      <c r="B38" s="441" t="n"/>
      <c r="C38" s="440" t="n"/>
      <c r="D38" s="441" t="n"/>
      <c r="E38" s="440" t="n"/>
      <c r="F38" s="57" t="n"/>
      <c r="G38" s="65" t="n"/>
      <c r="H38" s="438" t="n"/>
      <c r="I38" s="438" t="n"/>
      <c r="J38" s="420" t="n"/>
      <c r="K38" s="72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M38" s="449" t="n"/>
      <c r="N38" s="449" t="n"/>
      <c r="O38" s="449" t="n"/>
      <c r="P38" s="449" t="n"/>
      <c r="Q38" s="449" t="n"/>
    </row>
    <row r="39" ht="27" customHeight="1" s="462">
      <c r="A39" s="423">
        <f>IF(B39="","",COUNTA($B$5:B39))</f>
        <v/>
      </c>
      <c r="B39" s="441" t="n"/>
      <c r="C39" s="63" t="n"/>
      <c r="D39" s="440" t="n"/>
      <c r="E39" s="441" t="n"/>
      <c r="F39" s="57" t="n"/>
      <c r="G39" s="65" t="n"/>
      <c r="H39" s="438" t="n"/>
      <c r="I39" s="438" t="n"/>
      <c r="J39" s="57" t="n"/>
      <c r="K39" s="73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M39" s="449" t="n"/>
      <c r="N39" s="449" t="n"/>
      <c r="O39" s="449" t="n"/>
      <c r="P39" s="449" t="n"/>
      <c r="Q39" s="449" t="n"/>
    </row>
    <row r="40" ht="27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438" t="n"/>
      <c r="I40" s="438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M40" s="449" t="n"/>
      <c r="N40" s="449" t="n"/>
      <c r="O40" s="449" t="n"/>
      <c r="P40" s="449" t="n"/>
      <c r="Q40" s="449" t="n"/>
      <c r="R40" s="449" t="n"/>
    </row>
    <row r="41" ht="26.25" customHeight="1" s="462">
      <c r="A41" s="423">
        <f>IF(B41="","",COUNTA($B$5:B41))</f>
        <v/>
      </c>
      <c r="B41" s="441" t="n"/>
      <c r="C41" s="63" t="n"/>
      <c r="D41" s="440" t="n"/>
      <c r="E41" s="441" t="n"/>
      <c r="F41" s="57" t="n"/>
      <c r="G41" s="65" t="n"/>
      <c r="H41" s="438" t="n"/>
      <c r="I41" s="438" t="n"/>
      <c r="J41" s="57" t="n"/>
      <c r="K41" s="73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M41" s="449" t="n"/>
      <c r="N41" s="449" t="n"/>
      <c r="O41" s="449" t="n"/>
      <c r="P41" s="449" t="n"/>
      <c r="Q41" s="449" t="n"/>
      <c r="R41" s="449" t="n"/>
    </row>
    <row r="42" ht="17.25" customHeight="1" s="462">
      <c r="A42" s="423" t="n"/>
      <c r="B42" s="441" t="n"/>
      <c r="C42" s="63" t="n"/>
      <c r="D42" s="440" t="n"/>
      <c r="E42" s="441" t="n"/>
      <c r="F42" s="57" t="n"/>
      <c r="G42" s="65" t="n"/>
      <c r="H42" s="438" t="n"/>
      <c r="I42" s="438" t="n"/>
      <c r="J42" s="57" t="n"/>
      <c r="K42" s="73" t="n"/>
      <c r="L42" s="61" t="n"/>
      <c r="M42" s="449" t="n"/>
      <c r="N42" s="449" t="n"/>
      <c r="O42" s="449" t="n"/>
      <c r="P42" s="449" t="n"/>
      <c r="Q42" s="449" t="n"/>
      <c r="R42" s="449" t="n"/>
    </row>
    <row r="43" ht="27" customHeight="1" s="462">
      <c r="A43" s="423">
        <f>IF(B43="","",COUNTA($B$5:B43))</f>
        <v/>
      </c>
      <c r="B43" s="441" t="n"/>
      <c r="C43" s="63" t="n"/>
      <c r="D43" s="441" t="n"/>
      <c r="E43" s="441" t="n"/>
      <c r="F43" s="57" t="n"/>
      <c r="G43" s="59" t="n"/>
      <c r="H43" s="74" t="n"/>
      <c r="I43" s="74" t="n"/>
      <c r="J43" s="57" t="n"/>
      <c r="K43" s="73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61" t="n"/>
      <c r="M43" s="449" t="n"/>
      <c r="N43" s="449" t="n"/>
      <c r="O43" s="449" t="n"/>
      <c r="P43" s="449" t="n"/>
      <c r="Q43" s="449" t="n"/>
      <c r="R43" s="449" t="n"/>
    </row>
    <row r="44" ht="40.5" customHeight="1" s="462">
      <c r="A44" s="423">
        <f>IF(B44="","",COUNTA($B$5:B44))</f>
        <v/>
      </c>
      <c r="B44" s="420" t="n"/>
      <c r="C44" s="62" t="n"/>
      <c r="D44" s="63" t="n"/>
      <c r="E44" s="62" t="n"/>
      <c r="F44" s="420" t="n"/>
      <c r="G44" s="69" t="n"/>
      <c r="H44" s="74" t="n"/>
      <c r="I44" s="74" t="n"/>
      <c r="J44" s="420" t="n"/>
      <c r="K44" s="22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61" t="n"/>
      <c r="M44" s="449" t="n"/>
      <c r="N44" s="449" t="n"/>
      <c r="O44" s="449" t="n"/>
      <c r="P44" s="449" t="n"/>
      <c r="Q44" s="449" t="n"/>
    </row>
    <row r="45" ht="27" customHeight="1" s="462">
      <c r="A45" s="423">
        <f>IF(B45="","",COUNTA($B$5:B45))</f>
        <v/>
      </c>
      <c r="B45" s="441" t="n"/>
      <c r="C45" s="63" t="n"/>
      <c r="D45" s="440" t="n"/>
      <c r="E45" s="441" t="n"/>
      <c r="F45" s="57" t="n"/>
      <c r="G45" s="59" t="n"/>
      <c r="H45" s="60" t="n"/>
      <c r="I45" s="70" t="n"/>
      <c r="J45" s="57" t="n"/>
      <c r="K45" s="73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61" t="n"/>
      <c r="M45" s="449" t="n"/>
      <c r="N45" s="449" t="n"/>
      <c r="O45" s="449" t="n"/>
      <c r="P45" s="449" t="n"/>
      <c r="Q45" s="449" t="n"/>
      <c r="R45" s="449" t="n"/>
    </row>
    <row r="46" ht="27" customHeight="1" s="462">
      <c r="A46" s="423">
        <f>IF(B46="","",COUNTA($B$5:B46))</f>
        <v/>
      </c>
      <c r="B46" s="420" t="n"/>
      <c r="C46" s="420" t="n"/>
      <c r="D46" s="420" t="n"/>
      <c r="E46" s="420" t="n"/>
      <c r="F46" s="420" t="n"/>
      <c r="G46" s="69" t="n"/>
      <c r="H46" s="70" t="n"/>
      <c r="I46" s="70" t="n"/>
      <c r="J46" s="420" t="n"/>
      <c r="K46" s="22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61" t="n"/>
      <c r="M46" s="449" t="n"/>
      <c r="N46" s="449" t="n"/>
      <c r="O46" s="449" t="n"/>
      <c r="P46" s="449" t="n"/>
      <c r="Q46" s="449" t="n"/>
    </row>
    <row r="47">
      <c r="B47" s="18" t="n"/>
      <c r="C47" s="18" t="n"/>
      <c r="D47" s="18" t="n"/>
      <c r="E47" s="18" t="n"/>
      <c r="F47" s="18" t="n"/>
      <c r="G47" s="19" t="n"/>
      <c r="H47" s="33" t="n"/>
      <c r="I47" s="18" t="n"/>
      <c r="J47" s="18" t="n"/>
      <c r="K47" s="18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4.25" customHeight="1" s="462" thickBot="1">
      <c r="H48" s="2" t="n"/>
      <c r="I48" s="2" t="n"/>
      <c r="K48" s="2">
        <f t="array" ref="K48">IF(OR(H48="",L48=""),"",IFERROR(_xlfn.LET(_xlpm.vt,VLOOKUP(IFERROR(VALUE(LEFT(H48,FIND("＊",H48&amp;"＊")-1)),H48),運賃マスター!$A$22:$B$40,2,FALSE),_xlpm.d,L48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9">
      <c r="B49" s="22" t="n"/>
      <c r="C49" s="25" t="n"/>
      <c r="D49" s="25" t="inlineStr">
        <is>
          <t>現在待機場所</t>
        </is>
      </c>
      <c r="E49" s="25" t="inlineStr">
        <is>
          <t>待機予定場所</t>
        </is>
      </c>
      <c r="F49" s="466" t="n"/>
      <c r="H49" s="375" t="inlineStr">
        <is>
          <t>目標距離</t>
        </is>
      </c>
      <c r="I49" s="465" t="n"/>
      <c r="J49" s="467" t="n"/>
      <c r="K49" s="377">
        <f t="array" ref="K49">IF(OR(H49="",L49=""),"",IFERROR(_xlfn.LET(_xlpm.vt,VLOOKUP(IFERROR(VALUE(LEFT(H49,FIND("＊",H49&amp;"＊")-1)),H49),運賃マスター!$A$22:$B$40,2,FALSE),_xlpm.d,L49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50" ht="14.25" customHeight="1" s="462" thickBot="1">
      <c r="B50" s="26" t="inlineStr">
        <is>
          <t>2(255)</t>
        </is>
      </c>
      <c r="C50" s="21" t="inlineStr">
        <is>
          <t>山岸</t>
        </is>
      </c>
      <c r="D50" s="34" t="n"/>
      <c r="E50" s="34" t="n"/>
      <c r="F50" s="466" t="n"/>
      <c r="H50" s="468" t="n"/>
      <c r="I50" s="477" t="n"/>
      <c r="J50" s="469" t="n"/>
      <c r="K50" s="470" t="n"/>
    </row>
    <row r="51">
      <c r="B51" s="26" t="inlineStr">
        <is>
          <t>8(254)</t>
        </is>
      </c>
      <c r="C51" s="21" t="inlineStr">
        <is>
          <t>砂川</t>
        </is>
      </c>
      <c r="D51" s="35" t="n"/>
      <c r="E51" s="35" t="n"/>
      <c r="F51" s="466" t="n"/>
      <c r="H51" s="368" t="inlineStr">
        <is>
          <t>残距離</t>
        </is>
      </c>
      <c r="J51" s="471" t="n"/>
      <c r="K51" s="354">
        <f>550-SUM(L3:L46)-SUM(#REF!)</f>
        <v/>
      </c>
    </row>
    <row r="52" ht="14.25" customHeight="1" s="462" thickBot="1">
      <c r="B52" s="26" t="inlineStr">
        <is>
          <t>9(256)</t>
        </is>
      </c>
      <c r="C52" s="21" t="inlineStr">
        <is>
          <t>前川</t>
        </is>
      </c>
      <c r="D52" s="35" t="n"/>
      <c r="E52" s="35" t="n"/>
      <c r="F52" s="466" t="n"/>
      <c r="H52" s="468" t="n"/>
      <c r="I52" s="477" t="n"/>
      <c r="J52" s="469" t="n"/>
      <c r="K52" s="472" t="n"/>
    </row>
    <row r="53" ht="14.25" customHeight="1" s="462" thickBot="1">
      <c r="B53" s="26" t="inlineStr">
        <is>
          <t>10(257)</t>
        </is>
      </c>
      <c r="C53" s="35" t="n"/>
      <c r="D53" s="35" t="n"/>
      <c r="E53" s="35" t="n"/>
      <c r="F53" s="466" t="n"/>
      <c r="H53" s="2" t="n"/>
      <c r="I53" s="2" t="n"/>
      <c r="K53" s="2" t="n"/>
    </row>
    <row r="54">
      <c r="B54" s="26" t="inlineStr">
        <is>
          <t>11(258)</t>
        </is>
      </c>
      <c r="C54" s="21" t="inlineStr">
        <is>
          <t>郡司</t>
        </is>
      </c>
      <c r="D54" s="35" t="n"/>
      <c r="E54" s="35" t="n"/>
      <c r="F54" s="466" t="n"/>
      <c r="H54" s="350" t="inlineStr">
        <is>
          <t>依頼件数</t>
        </is>
      </c>
      <c r="I54" s="465" t="n"/>
      <c r="J54" s="467" t="n"/>
      <c r="K54" s="354">
        <f>SUM(P3:P46)+SUM(SUM(#REF!))</f>
        <v/>
      </c>
    </row>
    <row r="55" ht="14.25" customHeight="1" s="462" thickBot="1">
      <c r="B55" s="26" t="inlineStr">
        <is>
          <t>12(736)</t>
        </is>
      </c>
      <c r="C55" s="21" t="n"/>
      <c r="D55" s="35" t="n"/>
      <c r="E55" s="35" t="n"/>
      <c r="F55" s="466" t="n"/>
      <c r="H55" s="468" t="n"/>
      <c r="I55" s="477" t="n"/>
      <c r="J55" s="469" t="n"/>
      <c r="K55" s="472" t="n"/>
    </row>
    <row r="56" ht="16.5" customHeight="1" s="462">
      <c r="B56" s="26" t="inlineStr">
        <is>
          <t>13(737)</t>
        </is>
      </c>
      <c r="C56" s="21" t="n"/>
      <c r="D56" s="35" t="n"/>
      <c r="E56" s="35" t="n"/>
      <c r="F56" s="466" t="n"/>
      <c r="H56" s="38" t="n"/>
      <c r="I56" s="38" t="n"/>
      <c r="J56" s="38" t="n"/>
      <c r="K56" s="39" t="n"/>
    </row>
    <row r="57" ht="16.5" customHeight="1" s="462">
      <c r="B57" s="40" t="inlineStr">
        <is>
          <t>14(738)</t>
        </is>
      </c>
      <c r="C57" s="21" t="inlineStr">
        <is>
          <t>辻井</t>
        </is>
      </c>
      <c r="D57" s="35" t="n"/>
      <c r="E57" s="35" t="n"/>
      <c r="F57" s="466" t="n"/>
      <c r="H57" s="38" t="n"/>
      <c r="I57" s="38" t="n"/>
      <c r="J57" s="38" t="n"/>
      <c r="K57" s="39" t="n"/>
    </row>
    <row r="58" ht="8.25" customHeight="1" s="462">
      <c r="B58" s="41" t="n"/>
      <c r="C58" s="42" t="n"/>
      <c r="D58" s="43" t="n"/>
      <c r="E58" s="44" t="n"/>
      <c r="F58" s="349" t="n"/>
      <c r="H58" s="38" t="n"/>
      <c r="I58" s="38" t="n"/>
      <c r="J58" s="38" t="n"/>
      <c r="K58" s="39" t="n"/>
    </row>
    <row r="59" ht="17.25" customHeight="1" s="462">
      <c r="B59" s="45" t="n">
        <v>7290</v>
      </c>
      <c r="C59" s="21" t="inlineStr">
        <is>
          <t>佐藤</t>
        </is>
      </c>
      <c r="D59" s="35" t="n"/>
      <c r="E59" s="348" t="n"/>
      <c r="F59" s="349" t="n"/>
      <c r="H59" s="38" t="n"/>
      <c r="I59" s="38" t="n"/>
      <c r="J59" s="38" t="n"/>
      <c r="K59" s="39" t="n"/>
    </row>
    <row r="60" ht="17.25" customHeight="1" s="462">
      <c r="B60" s="45" t="n">
        <v>7291</v>
      </c>
      <c r="C60" s="21" t="inlineStr">
        <is>
          <t>末次</t>
        </is>
      </c>
      <c r="D60" s="35" t="n"/>
      <c r="E60" s="348" t="n"/>
      <c r="F60" s="349" t="n"/>
      <c r="H60" s="38" t="n"/>
      <c r="I60" s="38" t="n"/>
      <c r="J60" s="38" t="n"/>
      <c r="K60" s="39" t="n"/>
    </row>
    <row r="61" ht="9" customHeight="1" s="462">
      <c r="B61" s="41" t="n"/>
      <c r="C61" s="42" t="n"/>
      <c r="D61" s="44" t="n"/>
      <c r="E61" s="44" t="n"/>
      <c r="F61" s="349" t="n"/>
      <c r="H61" s="38" t="n"/>
      <c r="I61" s="38" t="n"/>
      <c r="J61" s="38" t="n"/>
      <c r="K61" s="39" t="n"/>
    </row>
    <row r="62" ht="16.5" customHeight="1" s="462">
      <c r="B62" s="45" t="n">
        <v>333</v>
      </c>
      <c r="C62" s="21" t="inlineStr">
        <is>
          <t>金井/奥田</t>
        </is>
      </c>
      <c r="D62" s="35" t="n"/>
      <c r="E62" s="484" t="n"/>
      <c r="F62" s="469" t="n"/>
      <c r="H62" s="38" t="n"/>
      <c r="I62" s="38" t="n"/>
      <c r="J62" s="38" t="n"/>
      <c r="K62" s="39" t="n"/>
    </row>
    <row r="63" ht="16.5" customHeight="1" s="462">
      <c r="B63" s="46" t="n">
        <v>666</v>
      </c>
      <c r="C63" s="21" t="inlineStr">
        <is>
          <t>徳留</t>
        </is>
      </c>
      <c r="D63" s="35" t="n"/>
      <c r="E63" s="35" t="n"/>
      <c r="F63" s="466" t="n"/>
      <c r="H63" s="38" t="n"/>
      <c r="I63" s="38" t="n"/>
      <c r="J63" s="38" t="n"/>
      <c r="K63" s="39" t="n"/>
    </row>
    <row r="64" ht="16.5" customHeight="1" s="462">
      <c r="B64" s="46" t="n">
        <v>777</v>
      </c>
      <c r="C64" s="21" t="n"/>
      <c r="D64" s="35" t="n"/>
      <c r="E64" s="348" t="n"/>
      <c r="F64" s="349" t="n"/>
      <c r="H64" s="38" t="n"/>
      <c r="I64" s="38" t="n"/>
      <c r="J64" s="38" t="n"/>
      <c r="K64" s="39" t="n"/>
    </row>
    <row r="65" ht="16.5" customHeight="1" s="462">
      <c r="B65" s="47" t="n">
        <v>330</v>
      </c>
      <c r="C65" s="21" t="n"/>
      <c r="D65" s="35" t="n"/>
      <c r="E65" s="35" t="n"/>
      <c r="F65" s="466" t="n"/>
      <c r="H65" s="38" t="n"/>
      <c r="I65" s="38" t="n"/>
      <c r="J65" s="38" t="n"/>
      <c r="K65" s="39" t="n"/>
    </row>
    <row r="66" ht="16.5" customHeight="1" s="462">
      <c r="B66" s="47" t="n">
        <v>990</v>
      </c>
      <c r="C66" s="21" t="inlineStr">
        <is>
          <t>山原</t>
        </is>
      </c>
      <c r="D66" s="35" t="n"/>
      <c r="E66" s="35" t="n"/>
      <c r="F66" s="466" t="n"/>
      <c r="H66" s="38" t="n"/>
      <c r="I66" s="38" t="n"/>
      <c r="J66" s="38" t="n"/>
      <c r="K66" s="39" t="n"/>
    </row>
    <row r="67">
      <c r="H67" s="2" t="n"/>
      <c r="I67" s="2" t="n"/>
      <c r="K67" s="2" t="n"/>
    </row>
    <row r="68">
      <c r="C68" s="449" t="inlineStr">
        <is>
          <t>出発→到着</t>
        </is>
      </c>
      <c r="D68" s="420" t="inlineStr">
        <is>
          <t>備考</t>
        </is>
      </c>
      <c r="H68" s="2" t="n"/>
      <c r="I68" s="2" t="n"/>
      <c r="K68" s="2" t="n"/>
    </row>
    <row r="69">
      <c r="B69" s="27" t="inlineStr">
        <is>
          <t>①</t>
        </is>
      </c>
      <c r="C69" s="449" t="inlineStr">
        <is>
          <t>東→西</t>
        </is>
      </c>
      <c r="D69" s="485" t="inlineStr">
        <is>
          <t>①Aチーム優先</t>
        </is>
      </c>
      <c r="E69" s="486" t="n"/>
      <c r="F69" s="486" t="n"/>
      <c r="G69" s="486" t="n"/>
      <c r="H69" s="486" t="n"/>
      <c r="I69" s="486" t="n"/>
      <c r="J69" s="466" t="n"/>
      <c r="K69" s="2" t="n"/>
    </row>
    <row r="70">
      <c r="B70" s="27" t="inlineStr">
        <is>
          <t>②</t>
        </is>
      </c>
      <c r="C70" s="449" t="inlineStr">
        <is>
          <t>東→東</t>
        </is>
      </c>
      <c r="D70" s="485" t="inlineStr">
        <is>
          <t>②急ぎ案件の場合、道路状況も伝えてあげる。</t>
        </is>
      </c>
      <c r="E70" s="486" t="n"/>
      <c r="F70" s="486" t="n"/>
      <c r="G70" s="486" t="n"/>
      <c r="H70" s="486" t="n"/>
      <c r="I70" s="486" t="n"/>
      <c r="J70" s="466" t="n"/>
      <c r="K70" s="2" t="n"/>
    </row>
    <row r="71">
      <c r="B71" s="27" t="inlineStr">
        <is>
          <t>③</t>
        </is>
      </c>
      <c r="C71" s="449" t="inlineStr">
        <is>
          <t>西→東</t>
        </is>
      </c>
      <c r="D71" s="485" t="inlineStr">
        <is>
          <t>③各ドライバーの位置からの帰社のタイミング・夕方の配置</t>
        </is>
      </c>
      <c r="E71" s="486" t="n"/>
      <c r="F71" s="486" t="n"/>
      <c r="G71" s="486" t="n"/>
      <c r="H71" s="486" t="n"/>
      <c r="I71" s="486" t="n"/>
      <c r="J71" s="466" t="n"/>
      <c r="K71" s="2" t="n"/>
    </row>
    <row r="72">
      <c r="B72" s="27" t="inlineStr">
        <is>
          <t>④</t>
        </is>
      </c>
      <c r="C72" s="449" t="inlineStr">
        <is>
          <t>西→西</t>
        </is>
      </c>
      <c r="D72" s="485" t="inlineStr">
        <is>
          <t>④依頼を受ける際の、希望時間と現状の位置。行けるか行けないかの判断をしっかりと。</t>
        </is>
      </c>
      <c r="E72" s="486" t="n"/>
      <c r="F72" s="486" t="n"/>
      <c r="G72" s="486" t="n"/>
      <c r="H72" s="486" t="n"/>
      <c r="I72" s="486" t="n"/>
      <c r="J72" s="466" t="n"/>
      <c r="K72" s="2" t="n"/>
    </row>
    <row r="73">
      <c r="D73" s="485" t="inlineStr">
        <is>
          <t>⑤軽に乗るか乗らないかの判断に気を付ける。</t>
        </is>
      </c>
      <c r="E73" s="486" t="n"/>
      <c r="F73" s="486" t="n"/>
      <c r="G73" s="486" t="n"/>
      <c r="H73" s="486" t="n"/>
      <c r="I73" s="486" t="n"/>
      <c r="J73" s="466" t="n"/>
      <c r="K73" s="2" t="n"/>
    </row>
    <row r="74">
      <c r="B74" s="22" t="n"/>
      <c r="C74" s="420" t="inlineStr">
        <is>
          <t>現状配置(予測)</t>
        </is>
      </c>
      <c r="D74" s="485" t="inlineStr">
        <is>
          <t>⑥18/1日、1.8/1人、3件/1人</t>
        </is>
      </c>
      <c r="E74" s="486" t="n"/>
      <c r="F74" s="486" t="n"/>
      <c r="G74" s="486" t="n"/>
      <c r="H74" s="486" t="n"/>
      <c r="I74" s="486" t="n"/>
      <c r="J74" s="466" t="n"/>
      <c r="K74" s="2" t="n"/>
    </row>
    <row r="75">
      <c r="B75" s="420" t="inlineStr">
        <is>
          <t>西(神戸西・弥栄台)</t>
        </is>
      </c>
      <c r="C75" s="420" t="n"/>
      <c r="D75" s="485" t="inlineStr">
        <is>
          <t>⑦依頼書の見落とし(日付、入替、入出庫、場所）</t>
        </is>
      </c>
      <c r="E75" s="486" t="n"/>
      <c r="F75" s="486" t="n"/>
      <c r="G75" s="486" t="n"/>
      <c r="H75" s="486" t="n"/>
      <c r="I75" s="486" t="n"/>
      <c r="J75" s="466" t="n"/>
      <c r="K75" s="2" t="n"/>
    </row>
    <row r="76">
      <c r="B76" s="420" t="inlineStr">
        <is>
          <t>真ん中(摩耶・中央)</t>
        </is>
      </c>
      <c r="C76" s="420" t="n"/>
      <c r="D76" s="485" t="inlineStr">
        <is>
          <t>⑧3ｔ車と2ｔ車への振り方(西と東に振り分ける)</t>
        </is>
      </c>
      <c r="E76" s="486" t="n"/>
      <c r="F76" s="486" t="n"/>
      <c r="G76" s="486" t="n"/>
      <c r="H76" s="486" t="n"/>
      <c r="I76" s="486" t="n"/>
      <c r="J76" s="466" t="n"/>
      <c r="K76" s="2" t="n"/>
    </row>
    <row r="77">
      <c r="B77" s="420" t="inlineStr">
        <is>
          <t>東(尼崎・伊丹・西宮)</t>
        </is>
      </c>
      <c r="C77" s="420" t="n"/>
      <c r="D77" s="485" t="inlineStr">
        <is>
          <t>⑨</t>
        </is>
      </c>
      <c r="E77" s="486" t="n"/>
      <c r="F77" s="486" t="n"/>
      <c r="G77" s="486" t="n"/>
      <c r="H77" s="486" t="n"/>
      <c r="I77" s="486" t="n"/>
      <c r="J77" s="466" t="n"/>
      <c r="K77" s="2" t="n"/>
    </row>
    <row r="78">
      <c r="B78" s="48" t="inlineStr">
        <is>
          <t>極東(港区・淀屋橋)</t>
        </is>
      </c>
      <c r="C78" s="420" t="n"/>
      <c r="D78" s="49" t="n"/>
      <c r="E78" s="49" t="n"/>
      <c r="F78" s="49" t="n"/>
      <c r="G78" s="49" t="n"/>
      <c r="H78" s="49" t="n"/>
      <c r="I78" s="49" t="n"/>
      <c r="J78" s="49" t="n"/>
      <c r="K78" s="2" t="n"/>
    </row>
    <row r="79" ht="14.25" customHeight="1" s="462" thickBot="1">
      <c r="H79" s="2" t="n"/>
      <c r="I79" s="2" t="n"/>
      <c r="K79" s="2" t="n"/>
    </row>
    <row r="80">
      <c r="C80" s="473" t="inlineStr">
        <is>
          <t>合計額/380</t>
        </is>
      </c>
      <c r="D80" s="358">
        <f>SUM(G80)</f>
        <v/>
      </c>
      <c r="F80" s="360" t="inlineStr">
        <is>
          <t>売り上げ額</t>
        </is>
      </c>
      <c r="G80" s="362">
        <f>SUM(SUM(K4:K46))+SUM(#REF!)</f>
        <v/>
      </c>
      <c r="H80" s="465" t="n"/>
      <c r="I80" s="465" t="n"/>
      <c r="J80" s="467" t="n"/>
      <c r="K80" s="2" t="n"/>
    </row>
    <row r="81" ht="14.25" customHeight="1" s="462" thickBot="1">
      <c r="C81" s="474" t="n"/>
      <c r="D81" s="475" t="n"/>
      <c r="F81" s="468" t="n"/>
      <c r="G81" s="476" t="n"/>
      <c r="H81" s="477" t="n"/>
      <c r="I81" s="477" t="n"/>
      <c r="J81" s="469" t="n"/>
      <c r="K81" s="2" t="n"/>
    </row>
    <row r="82">
      <c r="C82" s="478" t="inlineStr">
        <is>
          <t>前日までの売上合計額</t>
        </is>
      </c>
      <c r="D82" s="479">
        <f>SUM(B91)</f>
        <v/>
      </c>
      <c r="H82" s="2" t="n"/>
      <c r="I82" s="2" t="n"/>
      <c r="K82" s="2" t="n"/>
    </row>
    <row r="83" ht="14.25" customHeight="1" s="462" thickBot="1">
      <c r="C83" s="480" t="n"/>
      <c r="D83" s="480" t="n"/>
      <c r="F83" s="420" t="inlineStr">
        <is>
          <t>金井（55)</t>
        </is>
      </c>
      <c r="G83" s="345" t="n"/>
      <c r="H83" s="466" t="n"/>
      <c r="I83" s="130" t="n"/>
      <c r="K83" s="2" t="n"/>
    </row>
    <row r="84" ht="14.25" customHeight="1" s="462" thickTop="1">
      <c r="D84" s="346">
        <f>D80+D82</f>
        <v/>
      </c>
      <c r="F84" s="420" t="inlineStr">
        <is>
          <t>粟津(55)</t>
        </is>
      </c>
      <c r="G84" s="340" t="n"/>
      <c r="H84" s="466" t="n"/>
      <c r="I84" s="131" t="n"/>
      <c r="K84" s="2" t="n"/>
    </row>
    <row r="85">
      <c r="F85" s="420" t="inlineStr">
        <is>
          <t>砂川(50)</t>
        </is>
      </c>
      <c r="G85" s="340" t="n"/>
      <c r="H85" s="466" t="n"/>
      <c r="I85" s="131" t="n"/>
      <c r="K85" s="2" t="n"/>
    </row>
    <row r="86">
      <c r="C86" s="2" t="inlineStr">
        <is>
          <t>高代</t>
        </is>
      </c>
      <c r="F86" s="420" t="inlineStr">
        <is>
          <t>前川(50)</t>
        </is>
      </c>
      <c r="G86" s="340" t="n"/>
      <c r="H86" s="466" t="n"/>
      <c r="I86" s="131" t="n"/>
      <c r="K86" s="2" t="n"/>
    </row>
    <row r="87">
      <c r="C87" s="2" t="inlineStr">
        <is>
          <t>返還代</t>
        </is>
      </c>
      <c r="F87" s="420" t="inlineStr">
        <is>
          <t>佐藤(50)</t>
        </is>
      </c>
      <c r="G87" s="345" t="n"/>
      <c r="H87" s="466" t="n"/>
      <c r="I87" s="130" t="n"/>
      <c r="K87" s="2" t="n"/>
    </row>
    <row r="88">
      <c r="C88" s="2" t="inlineStr">
        <is>
          <t>回収率</t>
        </is>
      </c>
      <c r="D88" s="50">
        <f>D87/D86</f>
        <v/>
      </c>
      <c r="F88" s="420" t="inlineStr">
        <is>
          <t>末次(55)</t>
        </is>
      </c>
      <c r="G88" s="340" t="n"/>
      <c r="H88" s="466" t="n"/>
      <c r="I88" s="131" t="n"/>
      <c r="K88" s="2" t="n"/>
    </row>
    <row r="89">
      <c r="C89" s="2" t="inlineStr">
        <is>
          <t>費</t>
        </is>
      </c>
      <c r="D89" s="2">
        <f>D86-D87</f>
        <v/>
      </c>
      <c r="F89" s="420" t="inlineStr">
        <is>
          <t>筒井(75)</t>
        </is>
      </c>
      <c r="G89" s="340" t="n"/>
      <c r="H89" s="466" t="n"/>
      <c r="I89" s="131" t="n"/>
      <c r="K89" s="2" t="n"/>
    </row>
    <row r="90">
      <c r="F90" s="420" t="inlineStr">
        <is>
          <t>山岸(40)</t>
        </is>
      </c>
      <c r="G90" s="340" t="n"/>
      <c r="H90" s="466" t="n"/>
      <c r="I90" s="131" t="n"/>
      <c r="K90" s="2" t="n"/>
    </row>
    <row r="91" ht="23.25" customHeight="1" s="462">
      <c r="B91" s="71" t="n"/>
      <c r="F91" s="420" t="inlineStr">
        <is>
          <t>多苗(30)</t>
        </is>
      </c>
      <c r="G91" s="340" t="n"/>
      <c r="H91" s="466" t="n"/>
      <c r="I91" s="131" t="n"/>
      <c r="K91" s="2" t="n"/>
      <c r="L91" s="2" t="inlineStr">
        <is>
          <t> </t>
        </is>
      </c>
    </row>
    <row r="92">
      <c r="H92" s="2" t="n"/>
      <c r="I92" s="2" t="n"/>
      <c r="K92" s="2" t="n"/>
    </row>
    <row r="93">
      <c r="H93" s="2" t="n"/>
      <c r="I93" s="2" t="n"/>
      <c r="K93" s="2" t="n"/>
    </row>
  </sheetData>
  <mergeCells count="58">
    <mergeCell ref="D71:J71"/>
    <mergeCell ref="E50:F50"/>
    <mergeCell ref="Q13:R13"/>
    <mergeCell ref="K54:K55"/>
    <mergeCell ref="F80:F81"/>
    <mergeCell ref="Q3:R3"/>
    <mergeCell ref="E55:F55"/>
    <mergeCell ref="E62:F62"/>
    <mergeCell ref="G86:H86"/>
    <mergeCell ref="D74:J74"/>
    <mergeCell ref="K51:K52"/>
    <mergeCell ref="Q37:R37"/>
    <mergeCell ref="D80:D81"/>
    <mergeCell ref="D73:J73"/>
    <mergeCell ref="E52:F52"/>
    <mergeCell ref="Q33:R33"/>
    <mergeCell ref="Q39:R39"/>
    <mergeCell ref="E51:F51"/>
    <mergeCell ref="B2:C2"/>
    <mergeCell ref="C80:C81"/>
    <mergeCell ref="H54:J55"/>
    <mergeCell ref="Q5:R5"/>
    <mergeCell ref="E63:F63"/>
    <mergeCell ref="D69:J69"/>
    <mergeCell ref="Q38:R38"/>
    <mergeCell ref="Q4:R4"/>
    <mergeCell ref="E65:F65"/>
    <mergeCell ref="G80:J81"/>
    <mergeCell ref="G87:H87"/>
    <mergeCell ref="G83:H83"/>
    <mergeCell ref="Q34:R34"/>
    <mergeCell ref="H49:J50"/>
    <mergeCell ref="E49:F49"/>
    <mergeCell ref="C82:C83"/>
    <mergeCell ref="Q46:R46"/>
    <mergeCell ref="D77:J77"/>
    <mergeCell ref="Q44:R44"/>
    <mergeCell ref="G89:H89"/>
    <mergeCell ref="Q9:R9"/>
    <mergeCell ref="H51:J52"/>
    <mergeCell ref="Q36:R36"/>
    <mergeCell ref="G88:H88"/>
    <mergeCell ref="D76:J76"/>
    <mergeCell ref="E57:F57"/>
    <mergeCell ref="G91:H91"/>
    <mergeCell ref="E54:F54"/>
    <mergeCell ref="D70:J70"/>
    <mergeCell ref="G85:H85"/>
    <mergeCell ref="D82:D83"/>
    <mergeCell ref="D75:J75"/>
    <mergeCell ref="K49:K50"/>
    <mergeCell ref="G90:H90"/>
    <mergeCell ref="E53:F53"/>
    <mergeCell ref="E66:F66"/>
    <mergeCell ref="D72:J72"/>
    <mergeCell ref="G84:H84"/>
    <mergeCell ref="E56:F56"/>
    <mergeCell ref="D84:D85"/>
  </mergeCells>
  <conditionalFormatting sqref="K51:K52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:L46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D5:D54">
    <cfRule type="containsText" priority="7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/>
</worksheet>
</file>

<file path=xl/worksheets/sheet35.xml><?xml version="1.0" encoding="utf-8"?>
<worksheet xmlns="http://schemas.openxmlformats.org/spreadsheetml/2006/main">
  <sheetPr codeName="Sheet35">
    <outlinePr summaryBelow="1" summaryRight="1"/>
    <pageSetUpPr/>
  </sheetPr>
  <dimension ref="A1:R71"/>
  <sheetViews>
    <sheetView zoomScaleNormal="100" workbookViewId="0">
      <selection activeCell="H16" sqref="H16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79" min="8" max="9"/>
    <col width="6.625" customWidth="1" style="2" min="10" max="10"/>
    <col width="20.25" customWidth="1" style="77" min="11" max="11"/>
    <col width="8.75" customWidth="1" style="452" min="12" max="12"/>
    <col width="8.75" customWidth="1" style="449" min="13" max="13"/>
    <col width="8.75" customWidth="1" style="2" min="14" max="16384"/>
  </cols>
  <sheetData>
    <row r="1"/>
    <row r="2" ht="28.5" customHeight="1" s="462" thickBot="1">
      <c r="B2" s="493" t="n">
        <v>46192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inlineStr">
        <is>
          <t>丸井：休み</t>
        </is>
      </c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N6" s="449" t="n"/>
      <c r="O6" s="449" t="n"/>
      <c r="P6" s="449" t="n"/>
      <c r="Q6" s="449" t="n"/>
      <c r="R6" s="449" t="n"/>
    </row>
    <row r="7" ht="17.25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80" t="n"/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4" t="n"/>
      <c r="D9" s="441" t="n"/>
      <c r="E9" s="63" t="n"/>
      <c r="F9" s="441" t="n"/>
      <c r="G9" s="59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16.5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64" t="n"/>
      <c r="E12" s="420" t="n"/>
      <c r="F12" s="57" t="n"/>
      <c r="G12" s="66" t="n"/>
      <c r="H12" s="74" t="n"/>
      <c r="I12" s="74" t="n"/>
      <c r="J12" s="420" t="n"/>
      <c r="K12" s="73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</row>
    <row r="13" ht="12.75" customHeight="1" s="462">
      <c r="A13" s="423">
        <f>IF(B13="","",COUNTA($B$5:B13))</f>
        <v/>
      </c>
      <c r="B13" s="441" t="n"/>
      <c r="C13" s="440" t="n"/>
      <c r="D13" s="441" t="n"/>
      <c r="E13" s="440" t="n"/>
      <c r="F13" s="57" t="n"/>
      <c r="G13" s="65" t="n"/>
      <c r="H13" s="74" t="n"/>
      <c r="I13" s="74" t="n"/>
      <c r="J13" s="420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</row>
    <row r="14" ht="27" customHeight="1" s="462">
      <c r="A14" s="423">
        <f>IF(B14="","",COUNTA($B$5:B14))</f>
        <v/>
      </c>
      <c r="B14" s="441" t="n"/>
      <c r="C14" s="63" t="n"/>
      <c r="D14" s="440" t="n"/>
      <c r="E14" s="441" t="n"/>
      <c r="F14" s="57" t="n"/>
      <c r="G14" s="65" t="n"/>
      <c r="H14" s="60" t="n"/>
      <c r="I14" s="60" t="n"/>
      <c r="J14" s="57" t="n"/>
      <c r="K14" s="73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</row>
    <row r="15" ht="27" customHeight="1" s="462">
      <c r="A15" s="423">
        <f>IF(B15="","",COUNTA($B$5:B15))</f>
        <v/>
      </c>
      <c r="B15" s="441" t="n"/>
      <c r="C15" s="63" t="n"/>
      <c r="D15" s="440" t="n"/>
      <c r="E15" s="441" t="n"/>
      <c r="F15" s="57" t="n"/>
      <c r="G15" s="59" t="n"/>
      <c r="H15" s="60" t="n"/>
      <c r="I15" s="60" t="n"/>
      <c r="J15" s="57" t="n"/>
      <c r="K15" s="73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441" t="n"/>
      <c r="C16" s="63" t="n"/>
      <c r="D16" s="441" t="n"/>
      <c r="E16" s="441" t="n"/>
      <c r="F16" s="57" t="n"/>
      <c r="G16" s="59" t="n"/>
      <c r="H16" s="60" t="n"/>
      <c r="I16" s="60" t="n"/>
      <c r="J16" s="57" t="n"/>
      <c r="K16" s="73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 t="n"/>
      <c r="B17" s="441" t="n"/>
      <c r="C17" s="63" t="n"/>
      <c r="D17" s="440" t="n"/>
      <c r="E17" s="441" t="n"/>
      <c r="F17" s="57" t="n"/>
      <c r="G17" s="59" t="n"/>
      <c r="H17" s="60" t="n"/>
      <c r="I17" s="60" t="n"/>
      <c r="J17" s="57" t="n"/>
      <c r="K17" s="73" t="n"/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 t="n"/>
      <c r="B18" s="441" t="n"/>
      <c r="C18" s="63" t="n"/>
      <c r="D18" s="440" t="n"/>
      <c r="E18" s="441" t="n"/>
      <c r="F18" s="57" t="n"/>
      <c r="G18" s="59" t="n"/>
      <c r="H18" s="60" t="n"/>
      <c r="I18" s="60" t="n"/>
      <c r="J18" s="57" t="n"/>
      <c r="K18" s="73" t="n"/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 t="n"/>
      <c r="B19" s="441" t="n"/>
      <c r="C19" s="63" t="n"/>
      <c r="D19" s="440" t="n"/>
      <c r="E19" s="441" t="n"/>
      <c r="F19" s="57" t="n"/>
      <c r="G19" s="59" t="n"/>
      <c r="H19" s="60" t="n"/>
      <c r="I19" s="60" t="n"/>
      <c r="J19" s="57" t="n"/>
      <c r="K19" s="73" t="n"/>
      <c r="L19" s="61" t="n"/>
      <c r="N19" s="449" t="n"/>
      <c r="O19" s="449" t="n"/>
      <c r="P19" s="449" t="n"/>
      <c r="Q19" s="449" t="n"/>
      <c r="R19" s="449" t="n"/>
    </row>
    <row r="20" ht="27" customHeight="1" s="462">
      <c r="A20" s="423" t="n"/>
      <c r="B20" s="441" t="n"/>
      <c r="C20" s="63" t="n"/>
      <c r="D20" s="440" t="n"/>
      <c r="E20" s="441" t="n"/>
      <c r="F20" s="57" t="n"/>
      <c r="G20" s="59" t="n"/>
      <c r="H20" s="60" t="n"/>
      <c r="I20" s="60" t="n"/>
      <c r="J20" s="57" t="n"/>
      <c r="K20" s="73" t="n"/>
      <c r="L20" s="61" t="n"/>
      <c r="N20" s="449" t="n"/>
      <c r="O20" s="449" t="n"/>
      <c r="P20" s="449" t="n"/>
      <c r="Q20" s="449" t="n"/>
      <c r="R20" s="449" t="n"/>
    </row>
    <row r="21" ht="27" customHeight="1" s="462">
      <c r="A21" s="423" t="n"/>
      <c r="B21" s="441" t="n"/>
      <c r="C21" s="63" t="n"/>
      <c r="D21" s="440" t="n"/>
      <c r="E21" s="441" t="n"/>
      <c r="F21" s="57" t="n"/>
      <c r="G21" s="59" t="n"/>
      <c r="H21" s="60" t="n"/>
      <c r="I21" s="60" t="n"/>
      <c r="J21" s="57" t="n"/>
      <c r="K21" s="73" t="n"/>
      <c r="L21" s="61" t="n"/>
      <c r="N21" s="449" t="n"/>
      <c r="O21" s="449" t="n"/>
      <c r="P21" s="449" t="n"/>
      <c r="Q21" s="449" t="n"/>
      <c r="R21" s="449" t="n"/>
    </row>
    <row r="22" ht="27" customHeight="1" s="462">
      <c r="A22" s="423" t="n"/>
      <c r="B22" s="441" t="n"/>
      <c r="C22" s="63" t="n"/>
      <c r="D22" s="440" t="n"/>
      <c r="E22" s="441" t="n"/>
      <c r="F22" s="57" t="n"/>
      <c r="G22" s="59" t="n"/>
      <c r="H22" s="60" t="n"/>
      <c r="I22" s="60" t="n"/>
      <c r="J22" s="57" t="n"/>
      <c r="K22" s="73" t="n"/>
      <c r="L22" s="61" t="n"/>
      <c r="N22" s="449" t="n"/>
      <c r="O22" s="449" t="n"/>
      <c r="P22" s="449" t="n"/>
      <c r="Q22" s="449" t="n"/>
      <c r="R22" s="449" t="n"/>
    </row>
    <row r="23" ht="27" customHeight="1" s="462">
      <c r="A23" s="423" t="n"/>
      <c r="B23" s="441" t="n"/>
      <c r="C23" s="63" t="n"/>
      <c r="D23" s="440" t="n"/>
      <c r="E23" s="441" t="n"/>
      <c r="F23" s="57" t="n"/>
      <c r="G23" s="59" t="n"/>
      <c r="H23" s="60" t="n"/>
      <c r="I23" s="60" t="n"/>
      <c r="J23" s="57" t="n"/>
      <c r="K23" s="73" t="n"/>
      <c r="L23" s="61" t="n"/>
      <c r="N23" s="449" t="n"/>
      <c r="O23" s="449" t="n"/>
      <c r="P23" s="449" t="n"/>
      <c r="Q23" s="449" t="n"/>
      <c r="R23" s="449" t="n"/>
    </row>
    <row r="24" ht="27.75" customHeight="1" s="462">
      <c r="A24" s="423">
        <f>IF(B24="","",COUNTA($B$5:B24))</f>
        <v/>
      </c>
      <c r="B24" s="420" t="n"/>
      <c r="C24" s="420" t="n"/>
      <c r="D24" s="420" t="n"/>
      <c r="E24" s="420" t="n"/>
      <c r="F24" s="420" t="n"/>
      <c r="G24" s="69" t="n"/>
      <c r="H24" s="70" t="n"/>
      <c r="I24" s="70" t="n"/>
      <c r="J24" s="420" t="n"/>
      <c r="K24" s="2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</row>
    <row r="25" ht="27" customHeight="1" s="462">
      <c r="B25" s="18" t="n"/>
      <c r="C25" s="18" t="n"/>
      <c r="D25" s="18" t="n"/>
      <c r="E25" s="18" t="n"/>
      <c r="F25" s="18" t="n"/>
      <c r="G25" s="19" t="n"/>
      <c r="H25" s="33" t="n"/>
      <c r="I25" s="18" t="n"/>
      <c r="J25" s="18" t="n"/>
      <c r="K25" s="18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2" t="n"/>
      <c r="M25" s="2" t="n"/>
    </row>
    <row r="26" ht="27" customHeight="1" s="462" thickBot="1">
      <c r="H26" s="2" t="n"/>
      <c r="I26" s="2" t="n"/>
      <c r="K26" s="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2" t="n"/>
      <c r="M26" s="2" t="n"/>
    </row>
    <row r="27" ht="27" customHeight="1" s="462">
      <c r="B27" s="22" t="n"/>
      <c r="C27" s="25" t="n"/>
      <c r="D27" s="25" t="inlineStr">
        <is>
          <t>現在待機場所</t>
        </is>
      </c>
      <c r="E27" s="25" t="inlineStr">
        <is>
          <t>待機予定場所</t>
        </is>
      </c>
      <c r="F27" s="466" t="n"/>
      <c r="H27" s="375" t="inlineStr">
        <is>
          <t>目標距離</t>
        </is>
      </c>
      <c r="I27" s="465" t="n"/>
      <c r="J27" s="467" t="n"/>
      <c r="K27" s="377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2" t="n"/>
      <c r="M27" s="2" t="n"/>
    </row>
    <row r="28" ht="27" customHeight="1" s="462" thickBot="1">
      <c r="B28" s="26" t="inlineStr">
        <is>
          <t>2(255)</t>
        </is>
      </c>
      <c r="C28" s="21" t="inlineStr">
        <is>
          <t>山岸</t>
        </is>
      </c>
      <c r="D28" s="34" t="n"/>
      <c r="E28" s="34" t="n"/>
      <c r="F28" s="466" t="n"/>
      <c r="H28" s="468" t="n"/>
      <c r="I28" s="477" t="n"/>
      <c r="J28" s="469" t="n"/>
      <c r="K28" s="470" t="n"/>
      <c r="L28" s="2" t="n"/>
      <c r="M28" s="2" t="n"/>
    </row>
    <row r="29">
      <c r="B29" s="26" t="inlineStr">
        <is>
          <t>8(254)</t>
        </is>
      </c>
      <c r="C29" s="21" t="inlineStr">
        <is>
          <t>砂川</t>
        </is>
      </c>
      <c r="D29" s="35" t="n"/>
      <c r="E29" s="35" t="n"/>
      <c r="F29" s="466" t="n"/>
      <c r="H29" s="368" t="inlineStr">
        <is>
          <t>残距離</t>
        </is>
      </c>
      <c r="J29" s="471" t="n"/>
      <c r="K29" s="354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2" t="n"/>
      <c r="M29" s="2" t="n"/>
    </row>
    <row r="30" ht="14.25" customHeight="1" s="462" thickBot="1">
      <c r="B30" s="26" t="inlineStr">
        <is>
          <t>9(256)</t>
        </is>
      </c>
      <c r="C30" s="21" t="inlineStr">
        <is>
          <t>前川</t>
        </is>
      </c>
      <c r="D30" s="35" t="n"/>
      <c r="E30" s="35" t="n"/>
      <c r="F30" s="466" t="n"/>
      <c r="H30" s="468" t="n"/>
      <c r="I30" s="477" t="n"/>
      <c r="J30" s="469" t="n"/>
      <c r="K30" s="472" t="n"/>
      <c r="L30" s="2" t="n"/>
      <c r="M30" s="2" t="n"/>
    </row>
    <row r="31" ht="14.25" customHeight="1" s="462" thickBot="1">
      <c r="B31" s="26" t="inlineStr">
        <is>
          <t>10(257)</t>
        </is>
      </c>
      <c r="C31" s="35" t="n"/>
      <c r="D31" s="35" t="n"/>
      <c r="E31" s="35" t="n"/>
      <c r="F31" s="466" t="n"/>
      <c r="H31" s="2" t="n"/>
      <c r="I31" s="2" t="n"/>
      <c r="K31" s="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2" t="n"/>
      <c r="M31" s="2" t="n"/>
    </row>
    <row r="32">
      <c r="B32" s="26" t="inlineStr">
        <is>
          <t>11(258)</t>
        </is>
      </c>
      <c r="C32" s="21" t="inlineStr">
        <is>
          <t>郡司</t>
        </is>
      </c>
      <c r="D32" s="35" t="n"/>
      <c r="E32" s="35" t="n"/>
      <c r="F32" s="466" t="n"/>
      <c r="H32" s="350" t="inlineStr">
        <is>
          <t>依頼件数</t>
        </is>
      </c>
      <c r="I32" s="465" t="n"/>
      <c r="J32" s="467" t="n"/>
      <c r="K32" s="354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2" t="n"/>
      <c r="M32" s="2" t="n"/>
    </row>
    <row r="33" ht="14.25" customHeight="1" s="462" thickBot="1">
      <c r="B33" s="26" t="inlineStr">
        <is>
          <t>12(736)</t>
        </is>
      </c>
      <c r="C33" s="21" t="n"/>
      <c r="D33" s="35" t="n"/>
      <c r="E33" s="35" t="n"/>
      <c r="F33" s="466" t="n"/>
      <c r="H33" s="468" t="n"/>
      <c r="I33" s="477" t="n"/>
      <c r="J33" s="469" t="n"/>
      <c r="K33" s="472" t="n"/>
      <c r="L33" s="2" t="n"/>
      <c r="M33" s="2" t="n"/>
    </row>
    <row r="34" ht="17.25" customHeight="1" s="462">
      <c r="B34" s="26" t="inlineStr">
        <is>
          <t>13(737)</t>
        </is>
      </c>
      <c r="C34" s="21" t="n"/>
      <c r="D34" s="35" t="n"/>
      <c r="E34" s="35" t="n"/>
      <c r="F34" s="466" t="n"/>
      <c r="H34" s="38" t="n"/>
      <c r="I34" s="38" t="n"/>
      <c r="J34" s="38" t="n"/>
      <c r="K34" s="39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2" t="n"/>
      <c r="M34" s="2" t="n"/>
    </row>
    <row r="35" ht="17.25" customHeight="1" s="462">
      <c r="B35" s="40" t="inlineStr">
        <is>
          <t>14(738)</t>
        </is>
      </c>
      <c r="C35" s="21" t="inlineStr">
        <is>
          <t>辻井</t>
        </is>
      </c>
      <c r="D35" s="35" t="n"/>
      <c r="E35" s="35" t="n"/>
      <c r="F35" s="466" t="n"/>
      <c r="H35" s="38" t="n"/>
      <c r="I35" s="38" t="n"/>
      <c r="J35" s="38" t="n"/>
      <c r="K35" s="39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2" t="n"/>
      <c r="M35" s="2" t="n"/>
    </row>
    <row r="36" ht="17.25" customHeight="1" s="462">
      <c r="B36" s="41" t="n"/>
      <c r="C36" s="42" t="n"/>
      <c r="D36" s="43" t="n"/>
      <c r="E36" s="44" t="n"/>
      <c r="F36" s="349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2" t="n"/>
      <c r="M36" s="2" t="n"/>
    </row>
    <row r="37" ht="17.25" customHeight="1" s="462">
      <c r="B37" s="45" t="n">
        <v>7290</v>
      </c>
      <c r="C37" s="21" t="inlineStr">
        <is>
          <t>佐藤</t>
        </is>
      </c>
      <c r="D37" s="35" t="n"/>
      <c r="E37" s="348" t="n"/>
      <c r="F37" s="349" t="n"/>
      <c r="H37" s="38" t="n"/>
      <c r="I37" s="38" t="n"/>
      <c r="J37" s="38" t="n"/>
      <c r="K37" s="39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2" t="n"/>
      <c r="M37" s="2" t="n"/>
    </row>
    <row r="38" ht="16.5" customHeight="1" s="462">
      <c r="B38" s="45" t="n">
        <v>7291</v>
      </c>
      <c r="C38" s="21" t="inlineStr">
        <is>
          <t>末次</t>
        </is>
      </c>
      <c r="D38" s="35" t="n"/>
      <c r="E38" s="348" t="n"/>
      <c r="F38" s="349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2" t="n"/>
      <c r="M38" s="2" t="n"/>
    </row>
    <row r="39" ht="16.5" customHeight="1" s="462">
      <c r="B39" s="41" t="n"/>
      <c r="C39" s="42" t="n"/>
      <c r="D39" s="44" t="n"/>
      <c r="E39" s="44" t="n"/>
      <c r="F39" s="349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2" t="n"/>
      <c r="M39" s="2" t="n"/>
    </row>
    <row r="40" ht="8.25" customHeight="1" s="462">
      <c r="B40" s="45" t="n">
        <v>333</v>
      </c>
      <c r="C40" s="21" t="inlineStr">
        <is>
          <t>金井/奥田</t>
        </is>
      </c>
      <c r="D40" s="35" t="n"/>
      <c r="E40" s="484" t="n"/>
      <c r="F40" s="46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2" t="n"/>
      <c r="M40" s="2" t="n"/>
    </row>
    <row r="41" ht="17.25" customHeight="1" s="462">
      <c r="B41" s="46" t="n">
        <v>666</v>
      </c>
      <c r="C41" s="21" t="inlineStr">
        <is>
          <t>徳留</t>
        </is>
      </c>
      <c r="D41" s="35" t="n"/>
      <c r="E41" s="35" t="n"/>
      <c r="F41" s="466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2" t="n"/>
      <c r="M41" s="2" t="n"/>
    </row>
    <row r="42" ht="17.25" customHeight="1" s="462">
      <c r="B42" s="46" t="n">
        <v>777</v>
      </c>
      <c r="C42" s="21" t="n"/>
      <c r="D42" s="35" t="n"/>
      <c r="E42" s="348" t="n"/>
      <c r="F42" s="34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2" t="n"/>
      <c r="M42" s="2" t="n"/>
    </row>
    <row r="43" ht="9" customHeight="1" s="462">
      <c r="B43" s="47" t="n">
        <v>330</v>
      </c>
      <c r="C43" s="21" t="n"/>
      <c r="D43" s="35" t="n"/>
      <c r="E43" s="35" t="n"/>
      <c r="F43" s="466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2" t="n"/>
      <c r="M43" s="2" t="n"/>
    </row>
    <row r="44" ht="16.5" customHeight="1" s="462">
      <c r="B44" s="47" t="n">
        <v>990</v>
      </c>
      <c r="C44" s="21" t="inlineStr">
        <is>
          <t>山原</t>
        </is>
      </c>
      <c r="D44" s="35" t="n"/>
      <c r="E44" s="35" t="n"/>
      <c r="F44" s="466" t="n"/>
      <c r="H44" s="38" t="n"/>
      <c r="I44" s="38" t="n"/>
      <c r="J44" s="38" t="n"/>
      <c r="K44" s="39" t="n"/>
      <c r="L44" s="2" t="n"/>
      <c r="M44" s="2" t="n"/>
    </row>
    <row r="45" ht="16.5" customHeight="1" s="462">
      <c r="H45" s="2" t="n"/>
      <c r="I45" s="2" t="n"/>
      <c r="K45" s="2" t="n"/>
      <c r="L45" s="2" t="n"/>
      <c r="M45" s="2" t="n"/>
    </row>
    <row r="46" ht="16.5" customHeight="1" s="462">
      <c r="C46" s="449" t="inlineStr">
        <is>
          <t>出発→到着</t>
        </is>
      </c>
      <c r="D46" s="420" t="inlineStr">
        <is>
          <t>備考</t>
        </is>
      </c>
      <c r="H46" s="2" t="n"/>
      <c r="I46" s="2" t="n"/>
      <c r="K46" s="2" t="n"/>
      <c r="L46" s="2" t="n"/>
      <c r="M46" s="2" t="n"/>
    </row>
    <row r="47" ht="16.5" customHeight="1" s="462">
      <c r="B47" s="27" t="inlineStr">
        <is>
          <t>①</t>
        </is>
      </c>
      <c r="C47" s="449" t="inlineStr">
        <is>
          <t>東→西</t>
        </is>
      </c>
      <c r="D47" s="485" t="inlineStr">
        <is>
          <t>①Aチーム優先</t>
        </is>
      </c>
      <c r="E47" s="486" t="n"/>
      <c r="F47" s="486" t="n"/>
      <c r="G47" s="486" t="n"/>
      <c r="H47" s="486" t="n"/>
      <c r="I47" s="486" t="n"/>
      <c r="J47" s="466" t="n"/>
      <c r="K47" s="2" t="n"/>
      <c r="L47" s="2" t="n"/>
      <c r="M47" s="2" t="n"/>
    </row>
    <row r="48" ht="16.5" customHeight="1" s="462">
      <c r="B48" s="27" t="inlineStr">
        <is>
          <t>②</t>
        </is>
      </c>
      <c r="C48" s="449" t="inlineStr">
        <is>
          <t>東→東</t>
        </is>
      </c>
      <c r="D48" s="485" t="inlineStr">
        <is>
          <t>②急ぎ案件の場合、道路状況も伝えてあげる。</t>
        </is>
      </c>
      <c r="E48" s="486" t="n"/>
      <c r="F48" s="486" t="n"/>
      <c r="G48" s="486" t="n"/>
      <c r="H48" s="486" t="n"/>
      <c r="I48" s="486" t="n"/>
      <c r="J48" s="466" t="n"/>
      <c r="K48" s="2" t="n"/>
      <c r="L48" s="2" t="n"/>
      <c r="M48" s="2" t="n"/>
    </row>
    <row r="49">
      <c r="B49" s="27" t="inlineStr">
        <is>
          <t>③</t>
        </is>
      </c>
      <c r="C49" s="449" t="inlineStr">
        <is>
          <t>西→東</t>
        </is>
      </c>
      <c r="D49" s="485" t="inlineStr">
        <is>
          <t>③各ドライバーの位置からの帰社のタイミング・夕方の配置</t>
        </is>
      </c>
      <c r="E49" s="486" t="n"/>
      <c r="F49" s="486" t="n"/>
      <c r="G49" s="486" t="n"/>
      <c r="H49" s="486" t="n"/>
      <c r="I49" s="486" t="n"/>
      <c r="J49" s="466" t="n"/>
      <c r="K49" s="2" t="n"/>
      <c r="L49" s="2" t="n"/>
      <c r="M49" s="2" t="n"/>
    </row>
    <row r="50">
      <c r="B50" s="27" t="inlineStr">
        <is>
          <t>④</t>
        </is>
      </c>
      <c r="C50" s="449" t="inlineStr">
        <is>
          <t>西→西</t>
        </is>
      </c>
      <c r="D50" s="485" t="inlineStr">
        <is>
          <t>④依頼を受ける際の、希望時間と現状の位置。行けるか行けないかの判断をしっかりと。</t>
        </is>
      </c>
      <c r="E50" s="486" t="n"/>
      <c r="F50" s="486" t="n"/>
      <c r="G50" s="486" t="n"/>
      <c r="H50" s="486" t="n"/>
      <c r="I50" s="486" t="n"/>
      <c r="J50" s="466" t="n"/>
      <c r="K50" s="2" t="n"/>
      <c r="L50" s="2" t="n"/>
      <c r="M50" s="2" t="n"/>
    </row>
    <row r="51">
      <c r="D51" s="485" t="inlineStr">
        <is>
          <t>⑤軽に乗るか乗らないかの判断に気を付ける。</t>
        </is>
      </c>
      <c r="E51" s="486" t="n"/>
      <c r="F51" s="486" t="n"/>
      <c r="G51" s="486" t="n"/>
      <c r="H51" s="486" t="n"/>
      <c r="I51" s="486" t="n"/>
      <c r="J51" s="466" t="n"/>
      <c r="K51" s="2" t="n"/>
      <c r="L51" s="2" t="n"/>
      <c r="M51" s="2" t="n"/>
    </row>
    <row r="52">
      <c r="B52" s="22" t="n"/>
      <c r="C52" s="420" t="inlineStr">
        <is>
          <t>現状配置(予測)</t>
        </is>
      </c>
      <c r="D52" s="485" t="inlineStr">
        <is>
          <t>⑥18/1日、1.8/1人、3件/1人</t>
        </is>
      </c>
      <c r="E52" s="486" t="n"/>
      <c r="F52" s="486" t="n"/>
      <c r="G52" s="486" t="n"/>
      <c r="H52" s="486" t="n"/>
      <c r="I52" s="486" t="n"/>
      <c r="J52" s="466" t="n"/>
      <c r="K52" s="2" t="n"/>
      <c r="L52" s="2" t="n"/>
      <c r="M52" s="2" t="n"/>
    </row>
    <row r="53">
      <c r="B53" s="420" t="inlineStr">
        <is>
          <t>西(神戸西・弥栄台)</t>
        </is>
      </c>
      <c r="C53" s="420" t="n"/>
      <c r="D53" s="485" t="inlineStr">
        <is>
          <t>⑦依頼書の見落とし(日付、入替、入出庫、場所）</t>
        </is>
      </c>
      <c r="E53" s="486" t="n"/>
      <c r="F53" s="486" t="n"/>
      <c r="G53" s="486" t="n"/>
      <c r="H53" s="486" t="n"/>
      <c r="I53" s="486" t="n"/>
      <c r="J53" s="466" t="n"/>
      <c r="K53" s="2" t="n"/>
      <c r="L53" s="2" t="n"/>
      <c r="M53" s="2" t="n"/>
    </row>
    <row r="54">
      <c r="B54" s="420" t="inlineStr">
        <is>
          <t>真ん中(摩耶・中央)</t>
        </is>
      </c>
      <c r="C54" s="420" t="n"/>
      <c r="D54" s="485" t="inlineStr">
        <is>
          <t>⑧3ｔ車と2ｔ車への振り方(西と東に振り分ける)</t>
        </is>
      </c>
      <c r="E54" s="486" t="n"/>
      <c r="F54" s="486" t="n"/>
      <c r="G54" s="486" t="n"/>
      <c r="H54" s="486" t="n"/>
      <c r="I54" s="486" t="n"/>
      <c r="J54" s="466" t="n"/>
      <c r="K54" s="2" t="n"/>
      <c r="L54" s="2" t="n"/>
      <c r="M54" s="2" t="n"/>
    </row>
    <row r="55">
      <c r="B55" s="420" t="inlineStr">
        <is>
          <t>東(尼崎・伊丹・西宮)</t>
        </is>
      </c>
      <c r="C55" s="420" t="n"/>
      <c r="D55" s="485" t="inlineStr">
        <is>
          <t>⑨</t>
        </is>
      </c>
      <c r="E55" s="486" t="n"/>
      <c r="F55" s="486" t="n"/>
      <c r="G55" s="486" t="n"/>
      <c r="H55" s="486" t="n"/>
      <c r="I55" s="486" t="n"/>
      <c r="J55" s="466" t="n"/>
      <c r="K55" s="2" t="n"/>
      <c r="L55" s="2" t="n"/>
      <c r="M55" s="2" t="n"/>
    </row>
    <row r="56">
      <c r="B56" s="48" t="inlineStr">
        <is>
          <t>極東(港区・淀屋橋)</t>
        </is>
      </c>
      <c r="C56" s="420" t="n"/>
      <c r="D56" s="49" t="n"/>
      <c r="E56" s="49" t="n"/>
      <c r="F56" s="49" t="n"/>
      <c r="G56" s="49" t="n"/>
      <c r="H56" s="49" t="n"/>
      <c r="I56" s="49" t="n"/>
      <c r="J56" s="49" t="n"/>
      <c r="K56" s="2" t="n"/>
      <c r="L56" s="2" t="n"/>
      <c r="M56" s="2" t="n"/>
    </row>
    <row r="57" ht="14.25" customHeight="1" s="462" thickBot="1">
      <c r="H57" s="2" t="n"/>
      <c r="I57" s="2" t="n"/>
      <c r="K57" s="2" t="n"/>
      <c r="L57" s="2" t="n"/>
      <c r="M57" s="2" t="n"/>
    </row>
    <row r="58">
      <c r="C58" s="473" t="inlineStr">
        <is>
          <t>合計額/380</t>
        </is>
      </c>
      <c r="D58" s="358">
        <f>SUM(G58)</f>
        <v/>
      </c>
      <c r="F58" s="360" t="inlineStr">
        <is>
          <t>売り上げ額</t>
        </is>
      </c>
      <c r="G58" s="362">
        <f>SUM(SUM(K4:K24))+SUM(#REF!)</f>
        <v/>
      </c>
      <c r="H58" s="465" t="n"/>
      <c r="I58" s="465" t="n"/>
      <c r="J58" s="467" t="n"/>
      <c r="K58" s="2" t="n"/>
      <c r="L58" s="2" t="n"/>
      <c r="M58" s="2" t="n"/>
    </row>
    <row r="59" ht="14.25" customHeight="1" s="462" thickBot="1">
      <c r="C59" s="474" t="n"/>
      <c r="D59" s="475" t="n"/>
      <c r="F59" s="468" t="n"/>
      <c r="G59" s="476" t="n"/>
      <c r="H59" s="477" t="n"/>
      <c r="I59" s="477" t="n"/>
      <c r="J59" s="469" t="n"/>
      <c r="K59" s="2" t="n"/>
      <c r="L59" s="2" t="n"/>
      <c r="M59" s="2" t="n"/>
    </row>
    <row r="60">
      <c r="C60" s="478" t="inlineStr">
        <is>
          <t>前日までの売上合計額</t>
        </is>
      </c>
      <c r="D60" s="479">
        <f>SUM(B69)</f>
        <v/>
      </c>
      <c r="H60" s="2" t="n"/>
      <c r="I60" s="2" t="n"/>
      <c r="K60" s="2" t="n"/>
      <c r="L60" s="2" t="n"/>
      <c r="M60" s="2" t="n"/>
    </row>
    <row r="61" ht="14.25" customHeight="1" s="462" thickBot="1">
      <c r="C61" s="480" t="n"/>
      <c r="D61" s="480" t="n"/>
      <c r="F61" s="420" t="inlineStr">
        <is>
          <t>金井（55)</t>
        </is>
      </c>
      <c r="G61" s="345" t="n"/>
      <c r="H61" s="466" t="n"/>
      <c r="I61" s="130" t="n"/>
      <c r="K61" s="2" t="n"/>
      <c r="L61" s="2" t="n"/>
      <c r="M61" s="2" t="n"/>
    </row>
    <row r="62" ht="14.25" customHeight="1" s="462" thickTop="1">
      <c r="D62" s="346">
        <f>D58+D60</f>
        <v/>
      </c>
      <c r="F62" s="420" t="inlineStr">
        <is>
          <t>粟津(55)</t>
        </is>
      </c>
      <c r="G62" s="340" t="n"/>
      <c r="H62" s="466" t="n"/>
      <c r="I62" s="131" t="n"/>
      <c r="K62" s="2" t="n"/>
      <c r="L62" s="2" t="n"/>
      <c r="M62" s="2" t="n"/>
    </row>
    <row r="63">
      <c r="F63" s="420" t="inlineStr">
        <is>
          <t>砂川(50)</t>
        </is>
      </c>
      <c r="G63" s="340" t="n"/>
      <c r="H63" s="466" t="n"/>
      <c r="I63" s="131" t="n"/>
      <c r="K63" s="2" t="n"/>
      <c r="L63" s="2" t="n"/>
      <c r="M63" s="2" t="n"/>
    </row>
    <row r="64">
      <c r="C64" s="2" t="inlineStr">
        <is>
          <t>高代</t>
        </is>
      </c>
      <c r="F64" s="420" t="inlineStr">
        <is>
          <t>前川(50)</t>
        </is>
      </c>
      <c r="G64" s="340" t="n"/>
      <c r="H64" s="466" t="n"/>
      <c r="I64" s="131" t="n"/>
      <c r="K64" s="2" t="n"/>
      <c r="L64" s="2" t="n"/>
      <c r="M64" s="2" t="n"/>
    </row>
    <row r="65">
      <c r="C65" s="2" t="inlineStr">
        <is>
          <t>返還代</t>
        </is>
      </c>
      <c r="F65" s="420" t="inlineStr">
        <is>
          <t>佐藤(50)</t>
        </is>
      </c>
      <c r="G65" s="345" t="n"/>
      <c r="H65" s="466" t="n"/>
      <c r="I65" s="130" t="n"/>
      <c r="K65" s="2" t="n"/>
      <c r="L65" s="2" t="n"/>
      <c r="M65" s="2" t="n"/>
    </row>
    <row r="66">
      <c r="C66" s="2" t="inlineStr">
        <is>
          <t>回収率</t>
        </is>
      </c>
      <c r="D66" s="50">
        <f>D65/D64</f>
        <v/>
      </c>
      <c r="F66" s="420" t="inlineStr">
        <is>
          <t>末次(55)</t>
        </is>
      </c>
      <c r="G66" s="340" t="n"/>
      <c r="H66" s="466" t="n"/>
      <c r="I66" s="131" t="n"/>
      <c r="K66" s="2" t="n"/>
      <c r="L66" s="2" t="n"/>
      <c r="M66" s="2" t="n"/>
    </row>
    <row r="67">
      <c r="C67" s="2" t="inlineStr">
        <is>
          <t>費</t>
        </is>
      </c>
      <c r="D67" s="2">
        <f>D64-D65</f>
        <v/>
      </c>
      <c r="F67" s="420" t="inlineStr">
        <is>
          <t>筒井(75)</t>
        </is>
      </c>
      <c r="G67" s="340" t="n"/>
      <c r="H67" s="466" t="n"/>
      <c r="I67" s="131" t="n"/>
      <c r="K67" s="2" t="n"/>
      <c r="L67" s="2" t="n"/>
      <c r="M67" s="2" t="n"/>
    </row>
    <row r="68">
      <c r="F68" s="420" t="inlineStr">
        <is>
          <t>山岸(40)</t>
        </is>
      </c>
      <c r="G68" s="340" t="n"/>
      <c r="H68" s="466" t="n"/>
      <c r="I68" s="131" t="n"/>
      <c r="K68" s="2" t="n"/>
      <c r="L68" s="2" t="n"/>
      <c r="M68" s="2" t="n"/>
    </row>
    <row r="69" ht="17.25" customHeight="1" s="462">
      <c r="B69" s="71" t="n"/>
      <c r="F69" s="420" t="inlineStr">
        <is>
          <t>多苗(30)</t>
        </is>
      </c>
      <c r="G69" s="340" t="n"/>
      <c r="H69" s="466" t="n"/>
      <c r="I69" s="131" t="n"/>
      <c r="K69" s="2" t="n"/>
      <c r="L69" s="2" t="inlineStr">
        <is>
          <t> </t>
        </is>
      </c>
      <c r="M69" s="2" t="n"/>
    </row>
    <row r="70">
      <c r="H70" s="2" t="n"/>
      <c r="I70" s="2" t="n"/>
      <c r="K70" s="2" t="n"/>
      <c r="L70" s="2" t="n"/>
      <c r="M70" s="2" t="n"/>
    </row>
    <row r="71">
      <c r="H71" s="2" t="n"/>
      <c r="I71" s="2" t="n"/>
      <c r="K71" s="2" t="n"/>
      <c r="L71" s="2" t="n"/>
      <c r="M71" s="2" t="n"/>
    </row>
    <row r="73" ht="23.25" customHeight="1" s="462"/>
  </sheetData>
  <autoFilter ref="H3:H30"/>
  <mergeCells count="52">
    <mergeCell ref="E43:F43"/>
    <mergeCell ref="Q13:R13"/>
    <mergeCell ref="K32:K33"/>
    <mergeCell ref="Q3:R3"/>
    <mergeCell ref="Q12:R12"/>
    <mergeCell ref="E33:F33"/>
    <mergeCell ref="Q24:R24"/>
    <mergeCell ref="G67:H67"/>
    <mergeCell ref="D55:J55"/>
    <mergeCell ref="G61:H61"/>
    <mergeCell ref="D51:J51"/>
    <mergeCell ref="E44:F44"/>
    <mergeCell ref="E35:F35"/>
    <mergeCell ref="B2:C2"/>
    <mergeCell ref="D54:J54"/>
    <mergeCell ref="D50:J50"/>
    <mergeCell ref="E29:F29"/>
    <mergeCell ref="K27:K28"/>
    <mergeCell ref="Q5:R5"/>
    <mergeCell ref="H29:J30"/>
    <mergeCell ref="Q14:R14"/>
    <mergeCell ref="E28:F28"/>
    <mergeCell ref="G66:H66"/>
    <mergeCell ref="G62:H62"/>
    <mergeCell ref="G69:H69"/>
    <mergeCell ref="E40:F40"/>
    <mergeCell ref="E31:F31"/>
    <mergeCell ref="Q4:R4"/>
    <mergeCell ref="D62:D63"/>
    <mergeCell ref="G58:J59"/>
    <mergeCell ref="E34:F34"/>
    <mergeCell ref="E30:F30"/>
    <mergeCell ref="G68:H68"/>
    <mergeCell ref="C60:C61"/>
    <mergeCell ref="D52:J52"/>
    <mergeCell ref="E27:F27"/>
    <mergeCell ref="G65:H65"/>
    <mergeCell ref="D58:D59"/>
    <mergeCell ref="D49:J49"/>
    <mergeCell ref="F58:F59"/>
    <mergeCell ref="G64:H64"/>
    <mergeCell ref="D48:J48"/>
    <mergeCell ref="E32:F32"/>
    <mergeCell ref="E41:F41"/>
    <mergeCell ref="D60:D61"/>
    <mergeCell ref="D53:J53"/>
    <mergeCell ref="G63:H63"/>
    <mergeCell ref="D47:J47"/>
    <mergeCell ref="H27:J28"/>
    <mergeCell ref="H32:J33"/>
    <mergeCell ref="C58:C59"/>
    <mergeCell ref="K29:K30"/>
  </mergeCells>
  <conditionalFormatting sqref="L3:L24">
    <cfRule type="cellIs" priority="3" operator="greaterThan" dxfId="0">
      <formula>30</formula>
    </cfRule>
  </conditionalFormatting>
  <conditionalFormatting sqref="K29:K30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32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90"/>
  <sheetViews>
    <sheetView topLeftCell="A13" zoomScaleNormal="100" workbookViewId="0">
      <selection activeCell="H21" sqref="H21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79" min="8" max="9"/>
    <col width="6.625" customWidth="1" style="2" min="10" max="10"/>
    <col width="20.25" customWidth="1" style="77" min="11" max="11"/>
    <col width="8.75" customWidth="1" style="452" min="12" max="12"/>
    <col width="8.75" customWidth="1" style="449" min="13" max="13"/>
    <col width="8.75" customWidth="1" style="2" min="14" max="16384"/>
  </cols>
  <sheetData>
    <row r="1"/>
    <row r="2" ht="28.5" customHeight="1" s="462" thickBot="1">
      <c r="B2" s="493" t="n">
        <v>46192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inlineStr">
        <is>
          <t>森本：16時
藤岡：10時出勤</t>
        </is>
      </c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57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259" t="n"/>
      <c r="F6" s="57" t="n"/>
      <c r="G6" s="65" t="n"/>
      <c r="H6" s="438" t="n"/>
      <c r="I6" s="295">
        <f>IFERROR(_xlfn.XLOOKUP(H6,案件・ドライバー一覧!$L$3:$L$17,案件・ドライバー一覧!$M$3:$M$17,""),"")</f>
        <v/>
      </c>
      <c r="J6" s="57" t="n"/>
      <c r="K6" s="57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441" t="n"/>
      <c r="D7" s="63" t="n"/>
      <c r="E7" s="441" t="n"/>
      <c r="F7" s="57" t="n"/>
      <c r="G7" s="68" t="n"/>
      <c r="H7" s="438" t="n"/>
      <c r="I7" s="295">
        <f>IFERROR(_xlfn.XLOOKUP(H7,案件・ドライバー一覧!$L$3:$L$17,案件・ドライバー一覧!$M$3:$M$17,""),"")</f>
        <v/>
      </c>
      <c r="J7" s="57" t="n"/>
      <c r="K7" s="57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</row>
    <row r="8" ht="27" customHeight="1" s="462">
      <c r="A8" s="423">
        <f>IF(B8="","",COUNTA($B$5:B8))</f>
        <v/>
      </c>
      <c r="B8" s="57" t="n"/>
      <c r="C8" s="64" t="n"/>
      <c r="D8" s="63" t="n"/>
      <c r="E8" s="441" t="n"/>
      <c r="F8" s="57" t="n"/>
      <c r="G8" s="59" t="n"/>
      <c r="H8" s="438" t="n"/>
      <c r="I8" s="295">
        <f>IFERROR(_xlfn.XLOOKUP(H8,案件・ドライバー一覧!$L$3:$L$17,案件・ドライバー一覧!$M$3:$M$17,""),"")</f>
        <v/>
      </c>
      <c r="J8" s="57" t="n"/>
      <c r="K8" s="57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4" t="n"/>
      <c r="D9" s="441" t="n"/>
      <c r="E9" s="441" t="n"/>
      <c r="F9" s="57" t="n"/>
      <c r="G9" s="59" t="n"/>
      <c r="H9" s="438" t="n"/>
      <c r="I9" s="295">
        <f>IFERROR(_xlfn.XLOOKUP(H9,案件・ドライバー一覧!$L$3:$L$17,案件・ドライバー一覧!$M$3:$M$17,""),"")</f>
        <v/>
      </c>
      <c r="J9" s="57" t="n"/>
      <c r="K9" s="57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441" t="n"/>
      <c r="G10" s="65" t="n"/>
      <c r="H10" s="438" t="n"/>
      <c r="I10" s="296">
        <f>IFERROR(_xlfn.XLOOKUP(H10,案件・ドライバー一覧!$L$3:$L$17,案件・ドライバー一覧!$M$3:$M$17,""),"")</f>
        <v/>
      </c>
      <c r="J10" s="420" t="n"/>
      <c r="K10" s="420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57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57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57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57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16.5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427" t="n"/>
      <c r="J15" s="57" t="n"/>
      <c r="K15" s="57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427" t="n"/>
      <c r="J16" s="57" t="n"/>
      <c r="K16" s="57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 t="n"/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57" t="n"/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438" t="n"/>
      <c r="I18" s="427" t="n"/>
      <c r="J18" s="57" t="n"/>
      <c r="K18" s="57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438" t="n"/>
      <c r="I19" s="427" t="n"/>
      <c r="J19" s="57" t="n"/>
      <c r="K19" s="57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27" customHeight="1" s="462">
      <c r="A20" s="423">
        <f>IF(B20="","",COUNTA($B$5:B20))</f>
        <v/>
      </c>
      <c r="B20" s="57" t="n"/>
      <c r="C20" s="441" t="n"/>
      <c r="D20" s="441" t="n"/>
      <c r="E20" s="441" t="n"/>
      <c r="F20" s="57" t="n"/>
      <c r="G20" s="65" t="n"/>
      <c r="H20" s="438" t="n"/>
      <c r="I20" s="427" t="n"/>
      <c r="J20" s="57" t="n"/>
      <c r="K20" s="57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  <c r="R20" s="449" t="n"/>
    </row>
    <row r="21" ht="28.5" customHeight="1" s="462">
      <c r="A21" s="423">
        <f>IF(B21="","",COUNTA($B$5:B21))</f>
        <v/>
      </c>
      <c r="B21" s="57" t="n"/>
      <c r="C21" s="64" t="n"/>
      <c r="D21" s="441" t="n"/>
      <c r="E21" s="63" t="n"/>
      <c r="F21" s="441" t="n"/>
      <c r="G21" s="59" t="n"/>
      <c r="H21" s="438" t="n"/>
      <c r="I21" s="427" t="n"/>
      <c r="J21" s="57" t="n"/>
      <c r="K21" s="57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  <c r="R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65" t="n"/>
      <c r="H22" s="438" t="n"/>
      <c r="I22" s="427" t="n"/>
      <c r="J22" s="57" t="n"/>
      <c r="K22" s="57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57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57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57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  <c r="R25" s="449" t="n"/>
    </row>
    <row r="26" ht="15.75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57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57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27" customHeight="1" s="462">
      <c r="A28" s="423">
        <f>IF(B28="","",COUNTA($B$5:B28))</f>
        <v/>
      </c>
      <c r="B28" s="441" t="n"/>
      <c r="C28" s="63" t="n"/>
      <c r="D28" s="440" t="n"/>
      <c r="E28" s="441" t="n"/>
      <c r="F28" s="57" t="n"/>
      <c r="G28" s="59" t="n"/>
      <c r="H28" s="438" t="n"/>
      <c r="I28" s="427" t="n"/>
      <c r="J28" s="57" t="n"/>
      <c r="K28" s="57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</row>
    <row r="29" ht="27" customHeight="1" s="462">
      <c r="A29" s="423">
        <f>IF(B29="","",COUNTA($B$5:B29))</f>
        <v/>
      </c>
      <c r="B29" s="57" t="n"/>
      <c r="C29" s="62" t="n"/>
      <c r="D29" s="63" t="n"/>
      <c r="E29" s="441" t="n"/>
      <c r="F29" s="57" t="n"/>
      <c r="G29" s="66" t="n"/>
      <c r="H29" s="438" t="n"/>
      <c r="I29" s="427" t="n"/>
      <c r="J29" s="57" t="n"/>
      <c r="K29" s="57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N29" s="449" t="n"/>
      <c r="O29" s="449" t="n"/>
      <c r="P29" s="449" t="n"/>
      <c r="Q29" s="449" t="n"/>
    </row>
    <row r="30" ht="27" customHeight="1" s="462">
      <c r="A30" s="423">
        <f>IF(B30="","",COUNTA($B$5:B30))</f>
        <v/>
      </c>
      <c r="B30" s="57" t="n"/>
      <c r="C30" s="64" t="n"/>
      <c r="D30" s="339" t="n"/>
      <c r="E30" s="62" t="n"/>
      <c r="F30" s="57" t="n"/>
      <c r="G30" s="188" t="n"/>
      <c r="H30" s="438" t="n"/>
      <c r="I30" s="438" t="n"/>
      <c r="J30" s="420" t="n"/>
      <c r="K30" s="420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N30" s="449" t="n"/>
      <c r="O30" s="449" t="n"/>
      <c r="P30" s="449" t="n"/>
      <c r="Q30" s="449" t="n"/>
    </row>
    <row r="31" ht="27" customHeight="1" s="462">
      <c r="A31" s="423">
        <f>IF(B31="","",COUNTA($B$5:B31))</f>
        <v/>
      </c>
      <c r="B31" s="57" t="n"/>
      <c r="C31" s="63" t="n"/>
      <c r="D31" s="64" t="n"/>
      <c r="E31" s="57" t="n"/>
      <c r="F31" s="57" t="n"/>
      <c r="G31" s="66" t="n"/>
      <c r="H31" s="438" t="n"/>
      <c r="I31" s="427" t="n"/>
      <c r="J31" s="57" t="n"/>
      <c r="K31" s="57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N31" s="449" t="n"/>
      <c r="O31" s="449" t="n"/>
      <c r="P31" s="449" t="n"/>
      <c r="Q31" s="449" t="n"/>
      <c r="R31" s="449" t="n"/>
    </row>
    <row r="32" ht="27" customHeight="1" s="462">
      <c r="A32" s="423">
        <f>IF(B32="","",COUNTA($B$5:B32))</f>
        <v/>
      </c>
      <c r="B32" s="57" t="n"/>
      <c r="C32" s="57" t="n"/>
      <c r="D32" s="441" t="n"/>
      <c r="E32" s="441" t="n"/>
      <c r="F32" s="57" t="n"/>
      <c r="G32" s="66" t="n"/>
      <c r="H32" s="438" t="n"/>
      <c r="I32" s="427" t="n"/>
      <c r="J32" s="57" t="n"/>
      <c r="K32" s="57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N32" s="449" t="n"/>
      <c r="O32" s="449" t="n"/>
      <c r="P32" s="449" t="n"/>
      <c r="Q32" s="449" t="n"/>
    </row>
    <row r="33" ht="27.75" customHeight="1" s="462">
      <c r="A33" s="423">
        <f>IF(B33="","",COUNTA($B$5:B33))</f>
        <v/>
      </c>
      <c r="B33" s="441" t="n"/>
      <c r="C33" s="440" t="n"/>
      <c r="D33" s="441" t="n"/>
      <c r="E33" s="440" t="n"/>
      <c r="F33" s="57" t="n"/>
      <c r="G33" s="65" t="n"/>
      <c r="H33" s="438" t="n"/>
      <c r="I33" s="438" t="n"/>
      <c r="J33" s="420" t="n"/>
      <c r="K33" s="420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N33" s="449" t="n"/>
      <c r="O33" s="449" t="n"/>
      <c r="P33" s="449" t="n"/>
      <c r="Q33" s="449" t="n"/>
    </row>
    <row r="34" ht="27" customHeight="1" s="462">
      <c r="A34" s="423" t="n"/>
      <c r="B34" s="441" t="n"/>
      <c r="C34" s="63" t="n"/>
      <c r="D34" s="440" t="n"/>
      <c r="E34" s="441" t="n"/>
      <c r="F34" s="57" t="n"/>
      <c r="G34" s="59" t="n"/>
      <c r="H34" s="438" t="n"/>
      <c r="I34" s="427" t="n"/>
      <c r="J34" s="57" t="n"/>
      <c r="K34" s="57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N34" s="449" t="n"/>
      <c r="O34" s="449" t="n"/>
      <c r="P34" s="449" t="n"/>
      <c r="Q34" s="449" t="n"/>
      <c r="R34" s="449" t="n"/>
    </row>
    <row r="35" ht="27" customHeight="1" s="462">
      <c r="A35" s="423">
        <f>IF(B35="","",COUNTA($B$5:B35))</f>
        <v/>
      </c>
      <c r="B35" s="441" t="n"/>
      <c r="C35" s="63" t="n"/>
      <c r="D35" s="440" t="n"/>
      <c r="E35" s="441" t="n"/>
      <c r="F35" s="57" t="n"/>
      <c r="G35" s="65" t="n"/>
      <c r="H35" s="438" t="n"/>
      <c r="I35" s="427" t="n"/>
      <c r="J35" s="57" t="n"/>
      <c r="K35" s="57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N35" s="449" t="n"/>
      <c r="O35" s="449" t="n"/>
      <c r="P35" s="449" t="n"/>
      <c r="Q35" s="449" t="n"/>
      <c r="R35" s="449" t="n"/>
    </row>
    <row r="36" ht="20.25" customHeight="1" s="462">
      <c r="A36" s="423">
        <f>IF(B36="","",COUNTA($B$5:B36))</f>
        <v/>
      </c>
      <c r="B36" s="420" t="n"/>
      <c r="C36" s="420" t="n"/>
      <c r="D36" s="420" t="n"/>
      <c r="E36" s="420" t="n"/>
      <c r="F36" s="420" t="n"/>
      <c r="G36" s="69" t="n"/>
      <c r="H36" s="74" t="n"/>
      <c r="I36" s="74" t="n"/>
      <c r="J36" s="420" t="n"/>
      <c r="K36" s="420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N36" s="449" t="n"/>
      <c r="O36" s="449" t="n"/>
      <c r="P36" s="449" t="n"/>
      <c r="Q36" s="449" t="n"/>
    </row>
    <row r="37" ht="27" customHeight="1" s="462">
      <c r="A37" s="423" t="n"/>
      <c r="B37" s="57" t="n"/>
      <c r="C37" s="420" t="n"/>
      <c r="D37" s="57" t="n"/>
      <c r="E37" s="57" t="n"/>
      <c r="F37" s="57" t="n"/>
      <c r="G37" s="59" t="n"/>
      <c r="H37" s="80" t="n"/>
      <c r="I37" s="80" t="n"/>
      <c r="J37" s="57" t="n"/>
      <c r="K37" s="57" t="n"/>
      <c r="L37" s="61" t="n"/>
      <c r="N37" s="449" t="n"/>
      <c r="O37" s="449" t="n"/>
      <c r="P37" s="449" t="n"/>
      <c r="Q37" s="449" t="n"/>
      <c r="R37" s="449" t="n"/>
    </row>
    <row r="38" ht="27" customHeight="1" s="462">
      <c r="A38" s="423" t="n"/>
      <c r="B38" s="57" t="n"/>
      <c r="C38" s="420" t="n"/>
      <c r="D38" s="57" t="n"/>
      <c r="E38" s="57" t="n"/>
      <c r="F38" s="57" t="n"/>
      <c r="G38" s="59" t="n"/>
      <c r="H38" s="80" t="n"/>
      <c r="I38" s="80" t="n"/>
      <c r="J38" s="57" t="n"/>
      <c r="K38" s="57" t="n"/>
      <c r="L38" s="61" t="n"/>
      <c r="N38" s="449" t="n"/>
      <c r="O38" s="449" t="n"/>
      <c r="P38" s="449" t="n"/>
      <c r="Q38" s="449" t="n"/>
      <c r="R38" s="449" t="n"/>
    </row>
    <row r="39" ht="27" customHeight="1" s="462">
      <c r="A39" s="423" t="n"/>
      <c r="B39" s="57" t="n"/>
      <c r="C39" s="420" t="n"/>
      <c r="D39" s="57" t="n"/>
      <c r="E39" s="57" t="n"/>
      <c r="F39" s="57" t="n"/>
      <c r="G39" s="59" t="n"/>
      <c r="H39" s="80" t="n"/>
      <c r="I39" s="80" t="n"/>
      <c r="J39" s="57" t="n"/>
      <c r="K39" s="57" t="n"/>
      <c r="L39" s="61" t="n"/>
      <c r="N39" s="449" t="n"/>
      <c r="O39" s="449" t="n"/>
      <c r="P39" s="449" t="n"/>
      <c r="Q39" s="449" t="n"/>
      <c r="R39" s="449" t="n"/>
    </row>
    <row r="40" ht="27" customHeight="1" s="462">
      <c r="A40" s="423" t="n"/>
      <c r="B40" s="57" t="n"/>
      <c r="C40" s="420" t="n"/>
      <c r="D40" s="57" t="n"/>
      <c r="E40" s="57" t="n"/>
      <c r="F40" s="57" t="n"/>
      <c r="G40" s="59" t="n"/>
      <c r="H40" s="80" t="n"/>
      <c r="I40" s="80" t="n"/>
      <c r="J40" s="57" t="n"/>
      <c r="K40" s="57" t="n"/>
      <c r="L40" s="61" t="n"/>
      <c r="N40" s="449" t="n"/>
      <c r="O40" s="449" t="n"/>
      <c r="P40" s="449" t="n"/>
      <c r="Q40" s="449" t="n"/>
      <c r="R40" s="449" t="n"/>
    </row>
    <row r="41" ht="27" customHeight="1" s="462">
      <c r="A41" s="423" t="n"/>
      <c r="B41" s="57" t="n"/>
      <c r="C41" s="420" t="n"/>
      <c r="D41" s="57" t="n"/>
      <c r="E41" s="57" t="n"/>
      <c r="F41" s="57" t="n"/>
      <c r="G41" s="59" t="n"/>
      <c r="H41" s="80" t="n"/>
      <c r="I41" s="80" t="n"/>
      <c r="J41" s="57" t="n"/>
      <c r="K41" s="57" t="n"/>
      <c r="L41" s="61" t="n"/>
      <c r="N41" s="449" t="n"/>
      <c r="O41" s="449" t="n"/>
      <c r="P41" s="449" t="n"/>
      <c r="Q41" s="449" t="n"/>
      <c r="R41" s="449" t="n"/>
    </row>
    <row r="42" ht="27" customHeight="1" s="462">
      <c r="A42" s="423">
        <f>IF(B42="","",COUNTA($B$5:B42))</f>
        <v/>
      </c>
      <c r="B42" s="441" t="n"/>
      <c r="C42" s="63" t="n"/>
      <c r="D42" s="440" t="n"/>
      <c r="E42" s="441" t="n"/>
      <c r="F42" s="57" t="n"/>
      <c r="G42" s="59" t="n"/>
      <c r="H42" s="60" t="n"/>
      <c r="I42" s="60" t="n"/>
      <c r="J42" s="57" t="n"/>
      <c r="K42" s="57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61" t="n"/>
      <c r="N42" s="449" t="n"/>
      <c r="O42" s="449" t="n"/>
      <c r="P42" s="449" t="n"/>
      <c r="Q42" s="449" t="n"/>
      <c r="R42" s="449" t="n"/>
    </row>
    <row r="43" ht="27" customHeight="1" s="462">
      <c r="A43" s="423">
        <f>IF(B43="","",COUNTA($B$5:B43))</f>
        <v/>
      </c>
      <c r="B43" s="420" t="n"/>
      <c r="C43" s="420" t="n"/>
      <c r="D43" s="420" t="n"/>
      <c r="E43" s="420" t="n"/>
      <c r="F43" s="420" t="n"/>
      <c r="G43" s="69" t="n"/>
      <c r="H43" s="70" t="n"/>
      <c r="I43" s="70" t="n"/>
      <c r="J43" s="420" t="n"/>
      <c r="K43" s="420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61" t="n"/>
      <c r="N43" s="449" t="n"/>
      <c r="O43" s="449" t="n"/>
      <c r="P43" s="449" t="n"/>
      <c r="Q43" s="449" t="n"/>
    </row>
    <row r="44">
      <c r="B44" s="18" t="n"/>
      <c r="C44" s="18" t="n"/>
      <c r="D44" s="18" t="n"/>
      <c r="E44" s="18" t="n"/>
      <c r="F44" s="18" t="n"/>
      <c r="G44" s="19" t="n"/>
      <c r="H44" s="33" t="n"/>
      <c r="I44" s="18" t="n"/>
      <c r="J44" s="18" t="n"/>
      <c r="K44" s="18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  <c r="M44" s="2" t="n"/>
    </row>
    <row r="45" ht="14.25" customHeight="1" s="462" thickBot="1">
      <c r="H45" s="2" t="n"/>
      <c r="I45" s="2" t="n"/>
      <c r="K45" s="2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  <c r="M45" s="2" t="n"/>
    </row>
    <row r="46">
      <c r="B46" s="22" t="n"/>
      <c r="C46" s="25" t="n"/>
      <c r="D46" s="25" t="inlineStr">
        <is>
          <t>現在待機場所</t>
        </is>
      </c>
      <c r="E46" s="25" t="inlineStr">
        <is>
          <t>待機予定場所</t>
        </is>
      </c>
      <c r="F46" s="466" t="n"/>
      <c r="H46" s="375" t="inlineStr">
        <is>
          <t>目標距離</t>
        </is>
      </c>
      <c r="I46" s="465" t="n"/>
      <c r="J46" s="467" t="n"/>
      <c r="K46" s="377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2" t="n"/>
      <c r="M46" s="2" t="n"/>
    </row>
    <row r="47" ht="14.25" customHeight="1" s="462" thickBot="1">
      <c r="B47" s="26" t="inlineStr">
        <is>
          <t>2(255)</t>
        </is>
      </c>
      <c r="C47" s="21" t="inlineStr">
        <is>
          <t>山岸</t>
        </is>
      </c>
      <c r="D47" s="34" t="n"/>
      <c r="E47" s="34" t="n"/>
      <c r="F47" s="466" t="n"/>
      <c r="H47" s="468" t="n"/>
      <c r="I47" s="477" t="n"/>
      <c r="J47" s="469" t="n"/>
      <c r="K47" s="470" t="n"/>
      <c r="L47" s="2" t="n"/>
      <c r="M47" s="2" t="n"/>
    </row>
    <row r="48">
      <c r="B48" s="26" t="inlineStr">
        <is>
          <t>8(254)</t>
        </is>
      </c>
      <c r="C48" s="21" t="inlineStr">
        <is>
          <t>砂川</t>
        </is>
      </c>
      <c r="D48" s="35" t="n"/>
      <c r="E48" s="35" t="n"/>
      <c r="F48" s="466" t="n"/>
      <c r="H48" s="368" t="inlineStr">
        <is>
          <t>残距離</t>
        </is>
      </c>
      <c r="J48" s="471" t="n"/>
      <c r="K48" s="354">
        <f t="array" ref="K48">IF(OR(H48="",L48=""),"",IFERROR(_xlfn.LET(_xlpm.vt,VLOOKUP(IFERROR(VALUE(LEFT(H48,FIND("＊",H48&amp;"＊")-1)),H48),運賃マスター!$A$22:$B$40,2,FALSE),_xlpm.d,L48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8" s="2" t="n"/>
      <c r="M48" s="2" t="n"/>
    </row>
    <row r="49" ht="14.25" customHeight="1" s="462" thickBot="1">
      <c r="B49" s="26" t="inlineStr">
        <is>
          <t>9(256)</t>
        </is>
      </c>
      <c r="C49" s="21" t="inlineStr">
        <is>
          <t>前川</t>
        </is>
      </c>
      <c r="D49" s="35" t="n"/>
      <c r="E49" s="35" t="n"/>
      <c r="F49" s="466" t="n"/>
      <c r="H49" s="468" t="n"/>
      <c r="I49" s="477" t="n"/>
      <c r="J49" s="469" t="n"/>
      <c r="K49" s="472" t="n"/>
      <c r="L49" s="2" t="n"/>
      <c r="M49" s="2" t="n"/>
    </row>
    <row r="50" ht="14.25" customHeight="1" s="462" thickBot="1">
      <c r="B50" s="26" t="inlineStr">
        <is>
          <t>10(257)</t>
        </is>
      </c>
      <c r="C50" s="35" t="n"/>
      <c r="D50" s="35" t="n"/>
      <c r="E50" s="35" t="n"/>
      <c r="F50" s="466" t="n"/>
      <c r="H50" s="2" t="n"/>
      <c r="I50" s="2" t="n"/>
      <c r="K50" s="2" t="n"/>
      <c r="L50" s="2" t="n"/>
      <c r="M50" s="2" t="n"/>
    </row>
    <row r="51">
      <c r="B51" s="26" t="inlineStr">
        <is>
          <t>11(258)</t>
        </is>
      </c>
      <c r="C51" s="21" t="inlineStr">
        <is>
          <t>郡司</t>
        </is>
      </c>
      <c r="D51" s="35" t="n"/>
      <c r="E51" s="35" t="n"/>
      <c r="F51" s="466" t="n"/>
      <c r="H51" s="350" t="inlineStr">
        <is>
          <t>依頼件数</t>
        </is>
      </c>
      <c r="I51" s="465" t="n"/>
      <c r="J51" s="467" t="n"/>
      <c r="K51" s="354" t="n"/>
      <c r="L51" s="2" t="n"/>
      <c r="M51" s="2" t="n"/>
    </row>
    <row r="52" ht="14.25" customHeight="1" s="462" thickBot="1">
      <c r="B52" s="26" t="inlineStr">
        <is>
          <t>12(736)</t>
        </is>
      </c>
      <c r="C52" s="21" t="n"/>
      <c r="D52" s="35" t="n"/>
      <c r="E52" s="35" t="n"/>
      <c r="F52" s="466" t="n"/>
      <c r="H52" s="468" t="n"/>
      <c r="I52" s="477" t="n"/>
      <c r="J52" s="469" t="n"/>
      <c r="K52" s="472" t="n"/>
      <c r="L52" s="2" t="n"/>
      <c r="M52" s="2" t="n"/>
    </row>
    <row r="53" ht="16.5" customHeight="1" s="462">
      <c r="B53" s="26" t="inlineStr">
        <is>
          <t>13(737)</t>
        </is>
      </c>
      <c r="C53" s="21" t="n"/>
      <c r="D53" s="35" t="n"/>
      <c r="E53" s="35" t="n"/>
      <c r="F53" s="466" t="n"/>
      <c r="H53" s="38" t="n"/>
      <c r="I53" s="38" t="n"/>
      <c r="J53" s="38" t="n"/>
      <c r="K53" s="39" t="n"/>
      <c r="L53" s="2" t="n"/>
      <c r="M53" s="2" t="n"/>
    </row>
    <row r="54" ht="16.5" customHeight="1" s="462">
      <c r="B54" s="40" t="inlineStr">
        <is>
          <t>14(738)</t>
        </is>
      </c>
      <c r="C54" s="21" t="inlineStr">
        <is>
          <t>辻井</t>
        </is>
      </c>
      <c r="D54" s="35" t="n"/>
      <c r="E54" s="35" t="n"/>
      <c r="F54" s="466" t="n"/>
      <c r="H54" s="38" t="n"/>
      <c r="I54" s="38" t="n"/>
      <c r="J54" s="38" t="n"/>
      <c r="K54" s="39" t="n"/>
      <c r="L54" s="2" t="n"/>
      <c r="M54" s="2" t="n"/>
    </row>
    <row r="55" ht="8.25" customHeight="1" s="462">
      <c r="B55" s="41" t="n"/>
      <c r="C55" s="42" t="n"/>
      <c r="D55" s="43" t="n"/>
      <c r="E55" s="44" t="n"/>
      <c r="F55" s="349" t="n"/>
      <c r="H55" s="38" t="n"/>
      <c r="I55" s="38" t="n"/>
      <c r="J55" s="38" t="n"/>
      <c r="K55" s="39" t="n"/>
      <c r="L55" s="2" t="n"/>
      <c r="M55" s="2" t="n"/>
    </row>
    <row r="56" ht="17.25" customHeight="1" s="462">
      <c r="B56" s="45" t="n">
        <v>7290</v>
      </c>
      <c r="C56" s="21" t="inlineStr">
        <is>
          <t>佐藤</t>
        </is>
      </c>
      <c r="D56" s="35" t="n"/>
      <c r="E56" s="348" t="n"/>
      <c r="F56" s="349" t="n"/>
      <c r="H56" s="38" t="n"/>
      <c r="I56" s="38" t="n"/>
      <c r="J56" s="38" t="n"/>
      <c r="K56" s="39" t="n"/>
      <c r="L56" s="2" t="n"/>
      <c r="M56" s="2" t="n"/>
    </row>
    <row r="57" ht="17.25" customHeight="1" s="462">
      <c r="B57" s="45" t="n">
        <v>7291</v>
      </c>
      <c r="C57" s="21" t="inlineStr">
        <is>
          <t>末次</t>
        </is>
      </c>
      <c r="D57" s="35" t="n"/>
      <c r="E57" s="348" t="n"/>
      <c r="F57" s="349" t="n"/>
      <c r="H57" s="38" t="n"/>
      <c r="I57" s="38" t="n"/>
      <c r="J57" s="38" t="n"/>
      <c r="K57" s="39" t="n"/>
      <c r="L57" s="2" t="n"/>
      <c r="M57" s="2" t="n"/>
    </row>
    <row r="58" ht="9" customHeight="1" s="462">
      <c r="B58" s="41" t="n"/>
      <c r="C58" s="42" t="n"/>
      <c r="D58" s="44" t="n"/>
      <c r="E58" s="44" t="n"/>
      <c r="F58" s="349" t="n"/>
      <c r="H58" s="38" t="n"/>
      <c r="I58" s="38" t="n"/>
      <c r="J58" s="38" t="n"/>
      <c r="K58" s="39" t="n"/>
      <c r="L58" s="2" t="n"/>
      <c r="M58" s="2" t="n"/>
    </row>
    <row r="59" ht="16.5" customHeight="1" s="462">
      <c r="B59" s="45" t="n">
        <v>333</v>
      </c>
      <c r="C59" s="21" t="inlineStr">
        <is>
          <t>金井/奥田</t>
        </is>
      </c>
      <c r="D59" s="35" t="n"/>
      <c r="E59" s="484" t="n"/>
      <c r="F59" s="469" t="n"/>
      <c r="H59" s="38" t="n"/>
      <c r="I59" s="38" t="n"/>
      <c r="J59" s="38" t="n"/>
      <c r="K59" s="39" t="n"/>
      <c r="L59" s="2" t="n"/>
      <c r="M59" s="2" t="n"/>
    </row>
    <row r="60" ht="16.5" customHeight="1" s="462">
      <c r="B60" s="46" t="n">
        <v>666</v>
      </c>
      <c r="C60" s="21" t="inlineStr">
        <is>
          <t>徳留</t>
        </is>
      </c>
      <c r="D60" s="35" t="n"/>
      <c r="E60" s="35" t="n"/>
      <c r="F60" s="466" t="n"/>
      <c r="H60" s="38" t="n"/>
      <c r="I60" s="38" t="n"/>
      <c r="J60" s="38" t="n"/>
      <c r="K60" s="39" t="n"/>
      <c r="L60" s="2" t="n"/>
      <c r="M60" s="2" t="n"/>
    </row>
    <row r="61" ht="16.5" customHeight="1" s="462">
      <c r="B61" s="46" t="n">
        <v>777</v>
      </c>
      <c r="C61" s="21" t="n"/>
      <c r="D61" s="35" t="n"/>
      <c r="E61" s="348" t="n"/>
      <c r="F61" s="349" t="n"/>
      <c r="H61" s="38" t="n"/>
      <c r="I61" s="38" t="n"/>
      <c r="J61" s="38" t="n"/>
      <c r="K61" s="39" t="n"/>
      <c r="L61" s="2" t="n"/>
      <c r="M61" s="2" t="n"/>
    </row>
    <row r="62" ht="16.5" customHeight="1" s="462">
      <c r="B62" s="47" t="n">
        <v>330</v>
      </c>
      <c r="C62" s="21" t="n"/>
      <c r="D62" s="35" t="n"/>
      <c r="E62" s="35" t="n"/>
      <c r="F62" s="466" t="n"/>
      <c r="H62" s="38" t="n"/>
      <c r="I62" s="38" t="n"/>
      <c r="J62" s="38" t="n"/>
      <c r="K62" s="39" t="n"/>
      <c r="L62" s="2" t="n"/>
      <c r="M62" s="2" t="n"/>
    </row>
    <row r="63" ht="16.5" customHeight="1" s="462">
      <c r="B63" s="47" t="n">
        <v>990</v>
      </c>
      <c r="C63" s="21" t="inlineStr">
        <is>
          <t>山原</t>
        </is>
      </c>
      <c r="D63" s="35" t="n"/>
      <c r="E63" s="35" t="n"/>
      <c r="F63" s="466" t="n"/>
      <c r="H63" s="38" t="n"/>
      <c r="I63" s="38" t="n"/>
      <c r="J63" s="38" t="n"/>
      <c r="K63" s="39" t="n"/>
      <c r="L63" s="2" t="n"/>
      <c r="M63" s="2" t="n"/>
    </row>
    <row r="64">
      <c r="H64" s="2" t="n"/>
      <c r="I64" s="2" t="n"/>
      <c r="K64" s="2" t="n"/>
      <c r="L64" s="2" t="n"/>
      <c r="M64" s="2" t="n"/>
    </row>
    <row r="65">
      <c r="C65" s="449" t="inlineStr">
        <is>
          <t>出発→到着</t>
        </is>
      </c>
      <c r="D65" s="420" t="inlineStr">
        <is>
          <t>備考</t>
        </is>
      </c>
      <c r="H65" s="2" t="n"/>
      <c r="I65" s="2" t="n"/>
      <c r="K65" s="2" t="n"/>
      <c r="L65" s="2" t="n"/>
      <c r="M65" s="2" t="n"/>
    </row>
    <row r="66">
      <c r="B66" s="27" t="inlineStr">
        <is>
          <t>①</t>
        </is>
      </c>
      <c r="C66" s="449" t="inlineStr">
        <is>
          <t>東→西</t>
        </is>
      </c>
      <c r="D66" s="485" t="inlineStr">
        <is>
          <t>①Aチーム優先</t>
        </is>
      </c>
      <c r="E66" s="486" t="n"/>
      <c r="F66" s="486" t="n"/>
      <c r="G66" s="486" t="n"/>
      <c r="H66" s="486" t="n"/>
      <c r="I66" s="486" t="n"/>
      <c r="J66" s="466" t="n"/>
      <c r="K66" s="2" t="n"/>
      <c r="L66" s="2" t="n"/>
      <c r="M66" s="2" t="n"/>
    </row>
    <row r="67">
      <c r="B67" s="27" t="inlineStr">
        <is>
          <t>②</t>
        </is>
      </c>
      <c r="C67" s="449" t="inlineStr">
        <is>
          <t>東→東</t>
        </is>
      </c>
      <c r="D67" s="485" t="inlineStr">
        <is>
          <t>②急ぎ案件の場合、道路状況も伝えてあげる。</t>
        </is>
      </c>
      <c r="E67" s="486" t="n"/>
      <c r="F67" s="486" t="n"/>
      <c r="G67" s="486" t="n"/>
      <c r="H67" s="486" t="n"/>
      <c r="I67" s="486" t="n"/>
      <c r="J67" s="466" t="n"/>
      <c r="K67" s="2" t="n"/>
      <c r="L67" s="2" t="n"/>
      <c r="M67" s="2" t="n"/>
    </row>
    <row r="68">
      <c r="B68" s="27" t="inlineStr">
        <is>
          <t>③</t>
        </is>
      </c>
      <c r="C68" s="449" t="inlineStr">
        <is>
          <t>西→東</t>
        </is>
      </c>
      <c r="D68" s="485" t="inlineStr">
        <is>
          <t>③各ドライバーの位置からの帰社のタイミング・夕方の配置</t>
        </is>
      </c>
      <c r="E68" s="486" t="n"/>
      <c r="F68" s="486" t="n"/>
      <c r="G68" s="486" t="n"/>
      <c r="H68" s="486" t="n"/>
      <c r="I68" s="486" t="n"/>
      <c r="J68" s="466" t="n"/>
      <c r="K68" s="2" t="n"/>
      <c r="L68" s="2" t="n"/>
      <c r="M68" s="2" t="n"/>
    </row>
    <row r="69">
      <c r="B69" s="27" t="inlineStr">
        <is>
          <t>④</t>
        </is>
      </c>
      <c r="C69" s="449" t="inlineStr">
        <is>
          <t>西→西</t>
        </is>
      </c>
      <c r="D69" s="485" t="inlineStr">
        <is>
          <t>④依頼を受ける際の、希望時間と現状の位置。行けるか行けないかの判断をしっかりと。</t>
        </is>
      </c>
      <c r="E69" s="486" t="n"/>
      <c r="F69" s="486" t="n"/>
      <c r="G69" s="486" t="n"/>
      <c r="H69" s="486" t="n"/>
      <c r="I69" s="486" t="n"/>
      <c r="J69" s="466" t="n"/>
      <c r="K69" s="2" t="n"/>
      <c r="L69" s="2" t="n"/>
      <c r="M69" s="2" t="n"/>
    </row>
    <row r="70">
      <c r="D70" s="485" t="inlineStr">
        <is>
          <t>⑤軽に乗るか乗らないかの判断に気を付ける。</t>
        </is>
      </c>
      <c r="E70" s="486" t="n"/>
      <c r="F70" s="486" t="n"/>
      <c r="G70" s="486" t="n"/>
      <c r="H70" s="486" t="n"/>
      <c r="I70" s="486" t="n"/>
      <c r="J70" s="466" t="n"/>
      <c r="K70" s="2" t="n"/>
      <c r="L70" s="2" t="n"/>
      <c r="M70" s="2" t="n"/>
    </row>
    <row r="71">
      <c r="B71" s="22" t="n"/>
      <c r="C71" s="420" t="inlineStr">
        <is>
          <t>現状配置(予測)</t>
        </is>
      </c>
      <c r="D71" s="485" t="inlineStr">
        <is>
          <t>⑥18/1日、1.8/1人、3件/1人</t>
        </is>
      </c>
      <c r="E71" s="486" t="n"/>
      <c r="F71" s="486" t="n"/>
      <c r="G71" s="486" t="n"/>
      <c r="H71" s="486" t="n"/>
      <c r="I71" s="486" t="n"/>
      <c r="J71" s="466" t="n"/>
      <c r="K71" s="2" t="n"/>
      <c r="L71" s="2" t="n"/>
      <c r="M71" s="2" t="n"/>
    </row>
    <row r="72">
      <c r="B72" s="420" t="inlineStr">
        <is>
          <t>西(神戸西・弥栄台)</t>
        </is>
      </c>
      <c r="C72" s="420" t="n"/>
      <c r="D72" s="485" t="inlineStr">
        <is>
          <t>⑦依頼書の見落とし(日付、入替、入出庫、場所）</t>
        </is>
      </c>
      <c r="E72" s="486" t="n"/>
      <c r="F72" s="486" t="n"/>
      <c r="G72" s="486" t="n"/>
      <c r="H72" s="486" t="n"/>
      <c r="I72" s="486" t="n"/>
      <c r="J72" s="466" t="n"/>
      <c r="K72" s="2" t="n"/>
      <c r="L72" s="2" t="n"/>
      <c r="M72" s="2" t="n"/>
    </row>
    <row r="73">
      <c r="B73" s="420" t="inlineStr">
        <is>
          <t>真ん中(摩耶・中央)</t>
        </is>
      </c>
      <c r="C73" s="420" t="n"/>
      <c r="D73" s="485" t="inlineStr">
        <is>
          <t>⑧3ｔ車と2ｔ車への振り方(西と東に振り分ける)</t>
        </is>
      </c>
      <c r="E73" s="486" t="n"/>
      <c r="F73" s="486" t="n"/>
      <c r="G73" s="486" t="n"/>
      <c r="H73" s="486" t="n"/>
      <c r="I73" s="486" t="n"/>
      <c r="J73" s="466" t="n"/>
      <c r="K73" s="2" t="n"/>
      <c r="L73" s="2" t="n"/>
      <c r="M73" s="2" t="n"/>
    </row>
    <row r="74">
      <c r="B74" s="420" t="inlineStr">
        <is>
          <t>東(尼崎・伊丹・西宮)</t>
        </is>
      </c>
      <c r="C74" s="420" t="n"/>
      <c r="D74" s="485" t="inlineStr">
        <is>
          <t>⑨</t>
        </is>
      </c>
      <c r="E74" s="486" t="n"/>
      <c r="F74" s="486" t="n"/>
      <c r="G74" s="486" t="n"/>
      <c r="H74" s="486" t="n"/>
      <c r="I74" s="486" t="n"/>
      <c r="J74" s="466" t="n"/>
      <c r="K74" s="2" t="n"/>
      <c r="L74" s="2" t="n"/>
      <c r="M74" s="2" t="n"/>
    </row>
    <row r="75">
      <c r="B75" s="48" t="inlineStr">
        <is>
          <t>極東(港区・淀屋橋)</t>
        </is>
      </c>
      <c r="C75" s="420" t="n"/>
      <c r="D75" s="49" t="n"/>
      <c r="E75" s="49" t="n"/>
      <c r="F75" s="49" t="n"/>
      <c r="G75" s="49" t="n"/>
      <c r="H75" s="49" t="n"/>
      <c r="I75" s="49" t="n"/>
      <c r="J75" s="49" t="n"/>
      <c r="K75" s="2" t="n"/>
      <c r="L75" s="2" t="n"/>
      <c r="M75" s="2" t="n"/>
    </row>
    <row r="76" ht="14.25" customHeight="1" s="462" thickBot="1">
      <c r="H76" s="2" t="n"/>
      <c r="I76" s="2" t="n"/>
      <c r="K76" s="2" t="n"/>
      <c r="L76" s="2" t="n"/>
      <c r="M76" s="2" t="n"/>
    </row>
    <row r="77">
      <c r="C77" s="473" t="inlineStr">
        <is>
          <t>合計額/380</t>
        </is>
      </c>
      <c r="D77" s="358">
        <f>SUM(G77)</f>
        <v/>
      </c>
      <c r="F77" s="360" t="inlineStr">
        <is>
          <t>売り上げ額</t>
        </is>
      </c>
      <c r="G77" s="362">
        <f>SUM(SUM(K4:K43))+SUM(#REF!)</f>
        <v/>
      </c>
      <c r="H77" s="465" t="n"/>
      <c r="I77" s="465" t="n"/>
      <c r="J77" s="467" t="n"/>
      <c r="K77" s="2" t="n"/>
      <c r="L77" s="2" t="n"/>
      <c r="M77" s="2" t="n"/>
    </row>
    <row r="78" ht="14.25" customHeight="1" s="462" thickBot="1">
      <c r="C78" s="474" t="n"/>
      <c r="D78" s="475" t="n"/>
      <c r="F78" s="468" t="n"/>
      <c r="G78" s="476" t="n"/>
      <c r="H78" s="477" t="n"/>
      <c r="I78" s="477" t="n"/>
      <c r="J78" s="469" t="n"/>
      <c r="K78" s="2" t="n"/>
      <c r="L78" s="2" t="n"/>
      <c r="M78" s="2" t="n"/>
    </row>
    <row r="79">
      <c r="C79" s="478" t="inlineStr">
        <is>
          <t>前日までの売上合計額</t>
        </is>
      </c>
      <c r="D79" s="479">
        <f>SUM(B88)</f>
        <v/>
      </c>
      <c r="H79" s="2" t="n"/>
      <c r="I79" s="2" t="n"/>
      <c r="K79" s="2" t="n"/>
      <c r="L79" s="2" t="n"/>
      <c r="M79" s="2" t="n"/>
    </row>
    <row r="80" ht="14.25" customHeight="1" s="462" thickBot="1">
      <c r="C80" s="480" t="n"/>
      <c r="D80" s="480" t="n"/>
      <c r="F80" s="420" t="inlineStr">
        <is>
          <t>金井（55)</t>
        </is>
      </c>
      <c r="G80" s="345" t="n"/>
      <c r="H80" s="466" t="n"/>
      <c r="I80" s="130" t="n"/>
      <c r="K80" s="2" t="n"/>
      <c r="L80" s="2" t="n"/>
      <c r="M80" s="2" t="n"/>
    </row>
    <row r="81" ht="14.25" customHeight="1" s="462" thickTop="1">
      <c r="D81" s="346">
        <f>D77+D79</f>
        <v/>
      </c>
      <c r="F81" s="420" t="inlineStr">
        <is>
          <t>粟津(55)</t>
        </is>
      </c>
      <c r="G81" s="340" t="n"/>
      <c r="H81" s="466" t="n"/>
      <c r="I81" s="131" t="n"/>
      <c r="K81" s="2" t="n"/>
      <c r="L81" s="2" t="n"/>
      <c r="M81" s="2" t="n"/>
    </row>
    <row r="82">
      <c r="F82" s="420" t="inlineStr">
        <is>
          <t>砂川(50)</t>
        </is>
      </c>
      <c r="G82" s="340" t="n"/>
      <c r="H82" s="466" t="n"/>
      <c r="I82" s="131" t="n"/>
      <c r="K82" s="2" t="n"/>
      <c r="L82" s="2" t="n"/>
      <c r="M82" s="2" t="n"/>
    </row>
    <row r="83">
      <c r="C83" s="2" t="inlineStr">
        <is>
          <t>高代</t>
        </is>
      </c>
      <c r="F83" s="420" t="inlineStr">
        <is>
          <t>前川(50)</t>
        </is>
      </c>
      <c r="G83" s="340" t="n"/>
      <c r="H83" s="466" t="n"/>
      <c r="I83" s="131" t="n"/>
      <c r="K83" s="2" t="n"/>
      <c r="L83" s="2" t="n"/>
      <c r="M83" s="2" t="n"/>
    </row>
    <row r="84">
      <c r="C84" s="2" t="inlineStr">
        <is>
          <t>返還代</t>
        </is>
      </c>
      <c r="F84" s="420" t="inlineStr">
        <is>
          <t>佐藤(50)</t>
        </is>
      </c>
      <c r="G84" s="345" t="n"/>
      <c r="H84" s="466" t="n"/>
      <c r="I84" s="130" t="n"/>
      <c r="K84" s="2" t="n"/>
      <c r="L84" s="2" t="n"/>
      <c r="M84" s="2" t="n"/>
    </row>
    <row r="85">
      <c r="C85" s="2" t="inlineStr">
        <is>
          <t>回収率</t>
        </is>
      </c>
      <c r="D85" s="50">
        <f>D84/D83</f>
        <v/>
      </c>
      <c r="F85" s="420" t="inlineStr">
        <is>
          <t>末次(55)</t>
        </is>
      </c>
      <c r="G85" s="340" t="n"/>
      <c r="H85" s="466" t="n"/>
      <c r="I85" s="131" t="n"/>
      <c r="K85" s="2" t="n"/>
      <c r="L85" s="2" t="n"/>
      <c r="M85" s="2" t="n"/>
    </row>
    <row r="86">
      <c r="C86" s="2" t="inlineStr">
        <is>
          <t>費</t>
        </is>
      </c>
      <c r="D86" s="2">
        <f>D83-D84</f>
        <v/>
      </c>
      <c r="F86" s="420" t="inlineStr">
        <is>
          <t>筒井(75)</t>
        </is>
      </c>
      <c r="G86" s="340" t="n"/>
      <c r="H86" s="466" t="n"/>
      <c r="I86" s="131" t="n"/>
      <c r="K86" s="2" t="n"/>
      <c r="L86" s="2" t="n"/>
      <c r="M86" s="2" t="n"/>
    </row>
    <row r="87">
      <c r="F87" s="420" t="inlineStr">
        <is>
          <t>山岸(40)</t>
        </is>
      </c>
      <c r="G87" s="340" t="n"/>
      <c r="H87" s="466" t="n"/>
      <c r="I87" s="131" t="n"/>
      <c r="K87" s="2" t="n"/>
      <c r="L87" s="2" t="n"/>
      <c r="M87" s="2" t="n"/>
    </row>
    <row r="88" ht="23.25" customHeight="1" s="462">
      <c r="B88" s="71" t="n"/>
      <c r="F88" s="420" t="inlineStr">
        <is>
          <t>多苗(30)</t>
        </is>
      </c>
      <c r="G88" s="340" t="n"/>
      <c r="H88" s="466" t="n"/>
      <c r="I88" s="131" t="n"/>
      <c r="K88" s="2" t="n"/>
      <c r="L88" s="2" t="inlineStr">
        <is>
          <t> </t>
        </is>
      </c>
      <c r="M88" s="2" t="n"/>
    </row>
    <row r="89">
      <c r="H89" s="2" t="n"/>
      <c r="I89" s="2" t="n"/>
      <c r="K89" s="2" t="n"/>
      <c r="L89" s="2" t="n"/>
      <c r="M89" s="2" t="n"/>
    </row>
    <row r="90">
      <c r="H90" s="2" t="n"/>
      <c r="I90" s="2" t="n"/>
      <c r="K90" s="2" t="n"/>
      <c r="L90" s="2" t="n"/>
      <c r="M90" s="2" t="n"/>
    </row>
  </sheetData>
  <autoFilter ref="H3:H36"/>
  <mergeCells count="57">
    <mergeCell ref="D71:J71"/>
    <mergeCell ref="E50:F50"/>
    <mergeCell ref="G81:H81"/>
    <mergeCell ref="Q7:R7"/>
    <mergeCell ref="C79:C80"/>
    <mergeCell ref="Q3:R3"/>
    <mergeCell ref="Q43:R43"/>
    <mergeCell ref="E62:F62"/>
    <mergeCell ref="D74:J74"/>
    <mergeCell ref="G86:H86"/>
    <mergeCell ref="K51:K52"/>
    <mergeCell ref="D68:J68"/>
    <mergeCell ref="Q28:R28"/>
    <mergeCell ref="D73:J73"/>
    <mergeCell ref="E52:F52"/>
    <mergeCell ref="H48:J49"/>
    <mergeCell ref="D77:D78"/>
    <mergeCell ref="E48:F48"/>
    <mergeCell ref="Q33:R33"/>
    <mergeCell ref="D67:J67"/>
    <mergeCell ref="G82:H82"/>
    <mergeCell ref="E51:F51"/>
    <mergeCell ref="B2:C2"/>
    <mergeCell ref="Q29:R29"/>
    <mergeCell ref="Q5:R5"/>
    <mergeCell ref="E63:F63"/>
    <mergeCell ref="D69:J69"/>
    <mergeCell ref="K46:K47"/>
    <mergeCell ref="Q10:R10"/>
    <mergeCell ref="E60:F60"/>
    <mergeCell ref="Q4:R4"/>
    <mergeCell ref="G87:H87"/>
    <mergeCell ref="E59:F59"/>
    <mergeCell ref="G83:H83"/>
    <mergeCell ref="K48:K49"/>
    <mergeCell ref="E46:F46"/>
    <mergeCell ref="E49:F49"/>
    <mergeCell ref="G80:H80"/>
    <mergeCell ref="F77:F78"/>
    <mergeCell ref="H51:J52"/>
    <mergeCell ref="H46:J47"/>
    <mergeCell ref="Q36:R36"/>
    <mergeCell ref="G88:H88"/>
    <mergeCell ref="Q30:R30"/>
    <mergeCell ref="D79:D80"/>
    <mergeCell ref="E54:F54"/>
    <mergeCell ref="D70:J70"/>
    <mergeCell ref="D66:J66"/>
    <mergeCell ref="G85:H85"/>
    <mergeCell ref="C77:C78"/>
    <mergeCell ref="Q32:R32"/>
    <mergeCell ref="G77:J78"/>
    <mergeCell ref="E53:F53"/>
    <mergeCell ref="G84:H84"/>
    <mergeCell ref="D72:J72"/>
    <mergeCell ref="D81:D82"/>
    <mergeCell ref="E47:F47"/>
  </mergeCells>
  <conditionalFormatting sqref="K48:K49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:L43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D5:D51">
    <cfRule type="containsText" priority="7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R67"/>
  <sheetViews>
    <sheetView zoomScaleNormal="100" workbookViewId="0">
      <selection activeCell="I17" sqref="I1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79" min="8" max="9"/>
    <col width="6.625" customWidth="1" style="449" min="10" max="10"/>
    <col width="20.25" customWidth="1" style="77" min="11" max="11"/>
    <col width="8.75" customWidth="1" style="449" min="12" max="13"/>
    <col width="8.75" customWidth="1" style="2" min="14" max="16384"/>
  </cols>
  <sheetData>
    <row r="1"/>
    <row r="2" ht="15" customHeight="1" s="462" thickBot="1">
      <c r="B2" s="493" t="n">
        <v>46193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4" t="n"/>
      <c r="D10" s="441" t="n"/>
      <c r="E10" s="63" t="n"/>
      <c r="F10" s="441" t="n"/>
      <c r="G10" s="59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64" t="n"/>
      <c r="E14" s="420" t="n"/>
      <c r="F14" s="57" t="n"/>
      <c r="G14" s="66" t="n"/>
      <c r="H14" s="74" t="n"/>
      <c r="I14" s="74" t="n"/>
      <c r="J14" s="420" t="n"/>
      <c r="K14" s="73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</row>
    <row r="15" ht="27" customHeight="1" s="462">
      <c r="A15" s="423">
        <f>IF(B15="","",COUNTA($B$5:B15))</f>
        <v/>
      </c>
      <c r="B15" s="57" t="n"/>
      <c r="C15" s="420" t="n"/>
      <c r="D15" s="63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</row>
    <row r="16" ht="27" customHeight="1" s="462">
      <c r="A16" s="423">
        <f>IF(B16="","",COUNTA($B$5:B16))</f>
        <v/>
      </c>
      <c r="B16" s="441" t="n"/>
      <c r="C16" s="440" t="n"/>
      <c r="D16" s="441" t="n"/>
      <c r="E16" s="440" t="n"/>
      <c r="F16" s="57" t="n"/>
      <c r="G16" s="65" t="n"/>
      <c r="H16" s="74" t="n"/>
      <c r="I16" s="74" t="n"/>
      <c r="J16" s="420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</row>
    <row r="17" ht="27" customHeight="1" s="462">
      <c r="A17" s="423">
        <f>IF(B17="","",COUNTA($B$5:B17))</f>
        <v/>
      </c>
      <c r="B17" s="441" t="n"/>
      <c r="C17" s="63" t="n"/>
      <c r="D17" s="440" t="n"/>
      <c r="E17" s="441" t="n"/>
      <c r="F17" s="57" t="n"/>
      <c r="G17" s="59" t="n"/>
      <c r="H17" s="60" t="n"/>
      <c r="I17" s="60" t="n"/>
      <c r="J17" s="57" t="n"/>
      <c r="K17" s="73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</row>
    <row r="18" ht="27" customHeight="1" s="462">
      <c r="A18" s="423">
        <f>IF(B18="","",COUNTA($B$5:B18))</f>
        <v/>
      </c>
      <c r="B18" s="441" t="n"/>
      <c r="C18" s="63" t="n"/>
      <c r="D18" s="440" t="n"/>
      <c r="E18" s="441" t="n"/>
      <c r="F18" s="57" t="n"/>
      <c r="G18" s="59" t="n"/>
      <c r="H18" s="60" t="n"/>
      <c r="I18" s="60" t="n"/>
      <c r="J18" s="57" t="n"/>
      <c r="K18" s="73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441" t="n"/>
      <c r="C19" s="63" t="n"/>
      <c r="D19" s="440" t="n"/>
      <c r="E19" s="441" t="n"/>
      <c r="F19" s="57" t="n"/>
      <c r="G19" s="59" t="n"/>
      <c r="H19" s="60" t="n"/>
      <c r="I19" s="60" t="n"/>
      <c r="J19" s="57" t="n"/>
      <c r="K19" s="73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27.75" customHeight="1" s="462">
      <c r="A20" s="423">
        <f>IF(B20="","",COUNTA($B$5:B20))</f>
        <v/>
      </c>
      <c r="B20" s="420" t="n"/>
      <c r="C20" s="420" t="n"/>
      <c r="D20" s="420" t="n"/>
      <c r="E20" s="420" t="n"/>
      <c r="F20" s="420" t="n"/>
      <c r="G20" s="69" t="n"/>
      <c r="H20" s="70" t="n"/>
      <c r="I20" s="70" t="n"/>
      <c r="J20" s="420" t="n"/>
      <c r="K20" s="2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</row>
    <row r="21" ht="27" customHeight="1" s="462">
      <c r="B21" s="18" t="n"/>
      <c r="C21" s="18" t="n"/>
      <c r="D21" s="18" t="n"/>
      <c r="E21" s="18" t="n"/>
      <c r="F21" s="18" t="n"/>
      <c r="G21" s="19" t="n"/>
      <c r="H21" s="33" t="n"/>
      <c r="I21" s="18" t="n"/>
      <c r="J21" s="18" t="n"/>
      <c r="K21" s="18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2" t="n"/>
      <c r="M21" s="2" t="n"/>
    </row>
    <row r="22" ht="27" customHeight="1" s="462" thickBot="1">
      <c r="H22" s="2" t="n"/>
      <c r="I22" s="2" t="n"/>
      <c r="J22" s="2" t="n"/>
      <c r="K22" s="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2" t="n"/>
      <c r="M22" s="2" t="n"/>
    </row>
    <row r="23" ht="27" customHeight="1" s="462">
      <c r="B23" s="22" t="n"/>
      <c r="C23" s="25" t="n"/>
      <c r="D23" s="25" t="inlineStr">
        <is>
          <t>現在待機場所</t>
        </is>
      </c>
      <c r="E23" s="25" t="inlineStr">
        <is>
          <t>待機予定場所</t>
        </is>
      </c>
      <c r="F23" s="466" t="n"/>
      <c r="H23" s="375" t="inlineStr">
        <is>
          <t>目標距離</t>
        </is>
      </c>
      <c r="I23" s="465" t="n"/>
      <c r="J23" s="467" t="n"/>
      <c r="K23" s="377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2" t="n"/>
      <c r="M23" s="2" t="n"/>
    </row>
    <row r="24" ht="27" customHeight="1" s="462" thickBot="1">
      <c r="B24" s="26" t="inlineStr">
        <is>
          <t>2(255)</t>
        </is>
      </c>
      <c r="C24" s="21" t="inlineStr">
        <is>
          <t>山岸</t>
        </is>
      </c>
      <c r="D24" s="34" t="n"/>
      <c r="E24" s="34" t="n"/>
      <c r="F24" s="466" t="n"/>
      <c r="H24" s="468" t="n"/>
      <c r="I24" s="477" t="n"/>
      <c r="J24" s="469" t="n"/>
      <c r="K24" s="470" t="n"/>
      <c r="L24" s="2" t="n"/>
      <c r="M24" s="2" t="n"/>
    </row>
    <row r="25">
      <c r="B25" s="26" t="inlineStr">
        <is>
          <t>8(254)</t>
        </is>
      </c>
      <c r="C25" s="21" t="inlineStr">
        <is>
          <t>砂川</t>
        </is>
      </c>
      <c r="D25" s="35" t="n"/>
      <c r="E25" s="35" t="n"/>
      <c r="F25" s="466" t="n"/>
      <c r="H25" s="368" t="inlineStr">
        <is>
          <t>残距離</t>
        </is>
      </c>
      <c r="J25" s="471" t="n"/>
      <c r="K25" s="354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2" t="n"/>
      <c r="M25" s="2" t="n"/>
    </row>
    <row r="26" ht="14.25" customHeight="1" s="462" thickBot="1">
      <c r="B26" s="26" t="inlineStr">
        <is>
          <t>9(256)</t>
        </is>
      </c>
      <c r="C26" s="21" t="inlineStr">
        <is>
          <t>前川</t>
        </is>
      </c>
      <c r="D26" s="35" t="n"/>
      <c r="E26" s="35" t="n"/>
      <c r="F26" s="466" t="n"/>
      <c r="H26" s="468" t="n"/>
      <c r="I26" s="477" t="n"/>
      <c r="J26" s="469" t="n"/>
      <c r="K26" s="472" t="n"/>
      <c r="L26" s="2" t="n"/>
      <c r="M26" s="2" t="n"/>
    </row>
    <row r="27" ht="14.25" customHeight="1" s="462" thickBot="1">
      <c r="B27" s="26" t="inlineStr">
        <is>
          <t>10(257)</t>
        </is>
      </c>
      <c r="C27" s="35" t="n"/>
      <c r="D27" s="35" t="n"/>
      <c r="E27" s="35" t="n"/>
      <c r="F27" s="466" t="n"/>
      <c r="H27" s="2" t="n"/>
      <c r="I27" s="2" t="n"/>
      <c r="J27" s="2" t="n"/>
      <c r="K27" s="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2" t="n"/>
      <c r="M27" s="2" t="n"/>
    </row>
    <row r="28">
      <c r="B28" s="26" t="inlineStr">
        <is>
          <t>11(258)</t>
        </is>
      </c>
      <c r="C28" s="21" t="inlineStr">
        <is>
          <t>郡司</t>
        </is>
      </c>
      <c r="D28" s="35" t="n"/>
      <c r="E28" s="35" t="n"/>
      <c r="F28" s="466" t="n"/>
      <c r="H28" s="350" t="inlineStr">
        <is>
          <t>依頼件数</t>
        </is>
      </c>
      <c r="I28" s="465" t="n"/>
      <c r="J28" s="467" t="n"/>
      <c r="K28" s="354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2" t="n"/>
      <c r="M28" s="2" t="n"/>
    </row>
    <row r="29" ht="14.25" customHeight="1" s="462" thickBot="1">
      <c r="B29" s="26" t="inlineStr">
        <is>
          <t>12(736)</t>
        </is>
      </c>
      <c r="C29" s="21" t="n"/>
      <c r="D29" s="35" t="n"/>
      <c r="E29" s="35" t="n"/>
      <c r="F29" s="466" t="n"/>
      <c r="H29" s="468" t="n"/>
      <c r="I29" s="477" t="n"/>
      <c r="J29" s="469" t="n"/>
      <c r="K29" s="472" t="n"/>
      <c r="L29" s="2" t="n"/>
      <c r="M29" s="2" t="n"/>
    </row>
    <row r="30" ht="17.25" customHeight="1" s="462">
      <c r="B30" s="26" t="inlineStr">
        <is>
          <t>13(737)</t>
        </is>
      </c>
      <c r="C30" s="21" t="n"/>
      <c r="D30" s="35" t="n"/>
      <c r="E30" s="35" t="n"/>
      <c r="F30" s="466" t="n"/>
      <c r="H30" s="38" t="n"/>
      <c r="I30" s="38" t="n"/>
      <c r="J30" s="38" t="n"/>
      <c r="K30" s="39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2" t="n"/>
      <c r="M30" s="2" t="n"/>
    </row>
    <row r="31" ht="17.25" customHeight="1" s="462">
      <c r="B31" s="40" t="inlineStr">
        <is>
          <t>14(738)</t>
        </is>
      </c>
      <c r="C31" s="21" t="inlineStr">
        <is>
          <t>辻井</t>
        </is>
      </c>
      <c r="D31" s="35" t="n"/>
      <c r="E31" s="35" t="n"/>
      <c r="F31" s="466" t="n"/>
      <c r="H31" s="38" t="n"/>
      <c r="I31" s="38" t="n"/>
      <c r="J31" s="38" t="n"/>
      <c r="K31" s="39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2" t="n"/>
      <c r="M31" s="2" t="n"/>
    </row>
    <row r="32" ht="17.25" customHeight="1" s="462">
      <c r="B32" s="41" t="n"/>
      <c r="C32" s="42" t="n"/>
      <c r="D32" s="43" t="n"/>
      <c r="E32" s="44" t="n"/>
      <c r="F32" s="349" t="n"/>
      <c r="H32" s="38" t="n"/>
      <c r="I32" s="38" t="n"/>
      <c r="J32" s="38" t="n"/>
      <c r="K32" s="39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2" t="n"/>
      <c r="M32" s="2" t="n"/>
    </row>
    <row r="33" ht="17.25" customHeight="1" s="462">
      <c r="B33" s="45" t="n">
        <v>7290</v>
      </c>
      <c r="C33" s="21" t="inlineStr">
        <is>
          <t>佐藤</t>
        </is>
      </c>
      <c r="D33" s="35" t="n"/>
      <c r="E33" s="348" t="n"/>
      <c r="F33" s="349" t="n"/>
      <c r="H33" s="38" t="n"/>
      <c r="I33" s="38" t="n"/>
      <c r="J33" s="38" t="n"/>
      <c r="K33" s="39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2" t="n"/>
      <c r="M33" s="2" t="n"/>
    </row>
    <row r="34" ht="16.5" customHeight="1" s="462">
      <c r="B34" s="45" t="n">
        <v>7291</v>
      </c>
      <c r="C34" s="21" t="inlineStr">
        <is>
          <t>末次</t>
        </is>
      </c>
      <c r="D34" s="35" t="n"/>
      <c r="E34" s="348" t="n"/>
      <c r="F34" s="349" t="n"/>
      <c r="H34" s="38" t="n"/>
      <c r="I34" s="38" t="n"/>
      <c r="J34" s="38" t="n"/>
      <c r="K34" s="39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2" t="n"/>
      <c r="M34" s="2" t="n"/>
    </row>
    <row r="35" ht="16.5" customHeight="1" s="462">
      <c r="B35" s="41" t="n"/>
      <c r="C35" s="42" t="n"/>
      <c r="D35" s="44" t="n"/>
      <c r="E35" s="44" t="n"/>
      <c r="F35" s="349" t="n"/>
      <c r="H35" s="38" t="n"/>
      <c r="I35" s="38" t="n"/>
      <c r="J35" s="38" t="n"/>
      <c r="K35" s="39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2" t="n"/>
      <c r="M35" s="2" t="n"/>
    </row>
    <row r="36" ht="8.25" customHeight="1" s="462">
      <c r="B36" s="45" t="n">
        <v>333</v>
      </c>
      <c r="C36" s="21" t="inlineStr">
        <is>
          <t>金井/奥田</t>
        </is>
      </c>
      <c r="D36" s="35" t="n"/>
      <c r="E36" s="484" t="n"/>
      <c r="F36" s="469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2" t="n"/>
      <c r="M36" s="2" t="n"/>
    </row>
    <row r="37" ht="17.25" customHeight="1" s="462">
      <c r="B37" s="46" t="n">
        <v>666</v>
      </c>
      <c r="C37" s="21" t="inlineStr">
        <is>
          <t>徳留</t>
        </is>
      </c>
      <c r="D37" s="35" t="n"/>
      <c r="E37" s="35" t="n"/>
      <c r="F37" s="466" t="n"/>
      <c r="H37" s="38" t="n"/>
      <c r="I37" s="38" t="n"/>
      <c r="J37" s="38" t="n"/>
      <c r="K37" s="39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2" t="n"/>
      <c r="M37" s="2" t="n"/>
    </row>
    <row r="38" ht="17.25" customHeight="1" s="462">
      <c r="B38" s="46" t="n">
        <v>777</v>
      </c>
      <c r="C38" s="21" t="n"/>
      <c r="D38" s="35" t="n"/>
      <c r="E38" s="348" t="n"/>
      <c r="F38" s="349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2" t="n"/>
      <c r="M38" s="2" t="n"/>
    </row>
    <row r="39" ht="9" customHeight="1" s="462">
      <c r="B39" s="47" t="n">
        <v>330</v>
      </c>
      <c r="C39" s="21" t="n"/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2" t="n"/>
      <c r="M39" s="2" t="n"/>
    </row>
    <row r="40" ht="16.5" customHeight="1" s="462">
      <c r="B40" s="47" t="n">
        <v>990</v>
      </c>
      <c r="C40" s="21" t="inlineStr">
        <is>
          <t>山原</t>
        </is>
      </c>
      <c r="D40" s="35" t="n"/>
      <c r="E40" s="35" t="n"/>
      <c r="F40" s="466" t="n"/>
      <c r="H40" s="38" t="n"/>
      <c r="I40" s="38" t="n"/>
      <c r="J40" s="38" t="n"/>
      <c r="K40" s="39" t="n"/>
      <c r="L40" s="2" t="n"/>
      <c r="M40" s="2" t="n"/>
    </row>
    <row r="41" ht="16.5" customHeight="1" s="462">
      <c r="H41" s="2" t="n"/>
      <c r="I41" s="2" t="n"/>
      <c r="J41" s="2" t="n"/>
      <c r="K41" s="2" t="n"/>
      <c r="L41" s="2" t="n"/>
      <c r="M41" s="2" t="n"/>
    </row>
    <row r="42" ht="16.5" customHeight="1" s="462">
      <c r="C42" s="449" t="inlineStr">
        <is>
          <t>出発→到着</t>
        </is>
      </c>
      <c r="D42" s="420" t="inlineStr">
        <is>
          <t>備考</t>
        </is>
      </c>
      <c r="H42" s="2" t="n"/>
      <c r="I42" s="2" t="n"/>
      <c r="J42" s="2" t="n"/>
      <c r="K42" s="2" t="n"/>
      <c r="L42" s="2" t="n"/>
      <c r="M42" s="2" t="n"/>
    </row>
    <row r="43" ht="16.5" customHeight="1" s="462">
      <c r="B43" s="27" t="inlineStr">
        <is>
          <t>①</t>
        </is>
      </c>
      <c r="C43" s="449" t="inlineStr">
        <is>
          <t>東→西</t>
        </is>
      </c>
      <c r="D43" s="485" t="inlineStr">
        <is>
          <t>①Aチーム優先</t>
        </is>
      </c>
      <c r="E43" s="486" t="n"/>
      <c r="F43" s="486" t="n"/>
      <c r="G43" s="486" t="n"/>
      <c r="H43" s="486" t="n"/>
      <c r="I43" s="486" t="n"/>
      <c r="J43" s="466" t="n"/>
      <c r="K43" s="2" t="n"/>
      <c r="L43" s="2" t="n"/>
      <c r="M43" s="2" t="n"/>
    </row>
    <row r="44" ht="16.5" customHeight="1" s="462">
      <c r="B44" s="27" t="inlineStr">
        <is>
          <t>②</t>
        </is>
      </c>
      <c r="C44" s="449" t="inlineStr">
        <is>
          <t>東→東</t>
        </is>
      </c>
      <c r="D44" s="485" t="inlineStr">
        <is>
          <t>②急ぎ案件の場合、道路状況も伝えてあげる。</t>
        </is>
      </c>
      <c r="E44" s="486" t="n"/>
      <c r="F44" s="486" t="n"/>
      <c r="G44" s="486" t="n"/>
      <c r="H44" s="486" t="n"/>
      <c r="I44" s="486" t="n"/>
      <c r="J44" s="466" t="n"/>
      <c r="K44" s="2" t="n"/>
      <c r="L44" s="2" t="n"/>
      <c r="M44" s="2" t="n"/>
    </row>
    <row r="45">
      <c r="B45" s="27" t="inlineStr">
        <is>
          <t>③</t>
        </is>
      </c>
      <c r="C45" s="449" t="inlineStr">
        <is>
          <t>西→東</t>
        </is>
      </c>
      <c r="D45" s="485" t="inlineStr">
        <is>
          <t>③各ドライバーの位置からの帰社のタイミング・夕方の配置</t>
        </is>
      </c>
      <c r="E45" s="486" t="n"/>
      <c r="F45" s="486" t="n"/>
      <c r="G45" s="486" t="n"/>
      <c r="H45" s="486" t="n"/>
      <c r="I45" s="486" t="n"/>
      <c r="J45" s="466" t="n"/>
      <c r="K45" s="2" t="n"/>
      <c r="L45" s="2" t="n"/>
      <c r="M45" s="2" t="n"/>
    </row>
    <row r="46">
      <c r="B46" s="27" t="inlineStr">
        <is>
          <t>④</t>
        </is>
      </c>
      <c r="C46" s="449" t="inlineStr">
        <is>
          <t>西→西</t>
        </is>
      </c>
      <c r="D46" s="485" t="inlineStr">
        <is>
          <t>④依頼を受ける際の、希望時間と現状の位置。行けるか行けないかの判断をしっかりと。</t>
        </is>
      </c>
      <c r="E46" s="486" t="n"/>
      <c r="F46" s="486" t="n"/>
      <c r="G46" s="486" t="n"/>
      <c r="H46" s="486" t="n"/>
      <c r="I46" s="486" t="n"/>
      <c r="J46" s="466" t="n"/>
      <c r="K46" s="2" t="n"/>
      <c r="L46" s="2" t="n"/>
      <c r="M46" s="2" t="n"/>
    </row>
    <row r="47">
      <c r="D47" s="485" t="inlineStr">
        <is>
          <t>⑤軽に乗るか乗らないかの判断に気を付ける。</t>
        </is>
      </c>
      <c r="E47" s="486" t="n"/>
      <c r="F47" s="486" t="n"/>
      <c r="G47" s="486" t="n"/>
      <c r="H47" s="486" t="n"/>
      <c r="I47" s="486" t="n"/>
      <c r="J47" s="466" t="n"/>
      <c r="K47" s="2" t="n"/>
      <c r="L47" s="2" t="n"/>
      <c r="M47" s="2" t="n"/>
    </row>
    <row r="48">
      <c r="B48" s="22" t="n"/>
      <c r="C48" s="420" t="inlineStr">
        <is>
          <t>現状配置(予測)</t>
        </is>
      </c>
      <c r="D48" s="485" t="inlineStr">
        <is>
          <t>⑥18/1日、1.8/1人、3件/1人</t>
        </is>
      </c>
      <c r="E48" s="486" t="n"/>
      <c r="F48" s="486" t="n"/>
      <c r="G48" s="486" t="n"/>
      <c r="H48" s="486" t="n"/>
      <c r="I48" s="486" t="n"/>
      <c r="J48" s="466" t="n"/>
      <c r="K48" s="2" t="n"/>
      <c r="L48" s="2" t="n"/>
      <c r="M48" s="2" t="n"/>
    </row>
    <row r="49">
      <c r="B49" s="420" t="inlineStr">
        <is>
          <t>西(神戸西・弥栄台)</t>
        </is>
      </c>
      <c r="C49" s="420" t="n"/>
      <c r="D49" s="485" t="inlineStr">
        <is>
          <t>⑦依頼書の見落とし(日付、入替、入出庫、場所）</t>
        </is>
      </c>
      <c r="E49" s="486" t="n"/>
      <c r="F49" s="486" t="n"/>
      <c r="G49" s="486" t="n"/>
      <c r="H49" s="486" t="n"/>
      <c r="I49" s="486" t="n"/>
      <c r="J49" s="466" t="n"/>
      <c r="K49" s="2" t="n"/>
      <c r="L49" s="2" t="n"/>
      <c r="M49" s="2" t="n"/>
    </row>
    <row r="50">
      <c r="B50" s="420" t="inlineStr">
        <is>
          <t>真ん中(摩耶・中央)</t>
        </is>
      </c>
      <c r="C50" s="420" t="n"/>
      <c r="D50" s="485" t="inlineStr">
        <is>
          <t>⑧3ｔ車と2ｔ車への振り方(西と東に振り分ける)</t>
        </is>
      </c>
      <c r="E50" s="486" t="n"/>
      <c r="F50" s="486" t="n"/>
      <c r="G50" s="486" t="n"/>
      <c r="H50" s="486" t="n"/>
      <c r="I50" s="486" t="n"/>
      <c r="J50" s="466" t="n"/>
      <c r="K50" s="2" t="n"/>
      <c r="L50" s="2" t="n"/>
      <c r="M50" s="2" t="n"/>
    </row>
    <row r="51">
      <c r="B51" s="420" t="inlineStr">
        <is>
          <t>東(尼崎・伊丹・西宮)</t>
        </is>
      </c>
      <c r="C51" s="420" t="n"/>
      <c r="D51" s="485" t="inlineStr">
        <is>
          <t>⑨</t>
        </is>
      </c>
      <c r="E51" s="486" t="n"/>
      <c r="F51" s="486" t="n"/>
      <c r="G51" s="486" t="n"/>
      <c r="H51" s="486" t="n"/>
      <c r="I51" s="486" t="n"/>
      <c r="J51" s="466" t="n"/>
      <c r="K51" s="2" t="n"/>
      <c r="L51" s="2" t="n"/>
      <c r="M51" s="2" t="n"/>
    </row>
    <row r="52">
      <c r="B52" s="48" t="inlineStr">
        <is>
          <t>極東(港区・淀屋橋)</t>
        </is>
      </c>
      <c r="C52" s="420" t="n"/>
      <c r="D52" s="49" t="n"/>
      <c r="E52" s="49" t="n"/>
      <c r="F52" s="49" t="n"/>
      <c r="G52" s="49" t="n"/>
      <c r="H52" s="49" t="n"/>
      <c r="I52" s="49" t="n"/>
      <c r="J52" s="49" t="n"/>
      <c r="K52" s="2" t="n"/>
      <c r="L52" s="2" t="n"/>
      <c r="M52" s="2" t="n"/>
    </row>
    <row r="53" ht="14.25" customHeight="1" s="462" thickBot="1">
      <c r="H53" s="2" t="n"/>
      <c r="I53" s="2" t="n"/>
      <c r="J53" s="2" t="n"/>
      <c r="K53" s="2" t="n"/>
      <c r="L53" s="2" t="n"/>
      <c r="M53" s="2" t="n"/>
    </row>
    <row r="54">
      <c r="C54" s="473" t="inlineStr">
        <is>
          <t>合計額/380</t>
        </is>
      </c>
      <c r="D54" s="358">
        <f>SUM(G54)</f>
        <v/>
      </c>
      <c r="F54" s="360" t="inlineStr">
        <is>
          <t>売り上げ額</t>
        </is>
      </c>
      <c r="G54" s="362">
        <f>SUM(SUM(K4:K20))+SUM(#REF!)</f>
        <v/>
      </c>
      <c r="H54" s="465" t="n"/>
      <c r="I54" s="465" t="n"/>
      <c r="J54" s="467" t="n"/>
      <c r="K54" s="2" t="n"/>
      <c r="L54" s="2" t="n"/>
      <c r="M54" s="2" t="n"/>
    </row>
    <row r="55" ht="14.25" customHeight="1" s="462" thickBot="1">
      <c r="C55" s="474" t="n"/>
      <c r="D55" s="475" t="n"/>
      <c r="F55" s="468" t="n"/>
      <c r="G55" s="476" t="n"/>
      <c r="H55" s="477" t="n"/>
      <c r="I55" s="477" t="n"/>
      <c r="J55" s="469" t="n"/>
      <c r="K55" s="2" t="n"/>
      <c r="L55" s="2" t="n"/>
      <c r="M55" s="2" t="n"/>
    </row>
    <row r="56">
      <c r="C56" s="478" t="inlineStr">
        <is>
          <t>前日までの売上合計額</t>
        </is>
      </c>
      <c r="D56" s="479">
        <f>SUM(B65)</f>
        <v/>
      </c>
      <c r="H56" s="2" t="n"/>
      <c r="I56" s="2" t="n"/>
      <c r="J56" s="2" t="n"/>
      <c r="K56" s="2" t="n"/>
      <c r="L56" s="2" t="n"/>
      <c r="M56" s="2" t="n"/>
    </row>
    <row r="57" ht="14.25" customHeight="1" s="462" thickBot="1">
      <c r="C57" s="480" t="n"/>
      <c r="D57" s="480" t="n"/>
      <c r="F57" s="420" t="inlineStr">
        <is>
          <t>金井（55)</t>
        </is>
      </c>
      <c r="G57" s="345" t="n"/>
      <c r="H57" s="466" t="n"/>
      <c r="I57" s="130" t="n"/>
      <c r="J57" s="2" t="n"/>
      <c r="K57" s="2" t="n"/>
      <c r="L57" s="2" t="n"/>
      <c r="M57" s="2" t="n"/>
    </row>
    <row r="58" ht="14.25" customHeight="1" s="462" thickTop="1">
      <c r="D58" s="346">
        <f>D54+D56</f>
        <v/>
      </c>
      <c r="F58" s="420" t="inlineStr">
        <is>
          <t>粟津(55)</t>
        </is>
      </c>
      <c r="G58" s="340" t="n"/>
      <c r="H58" s="466" t="n"/>
      <c r="I58" s="131" t="n"/>
      <c r="J58" s="2" t="n"/>
      <c r="K58" s="2" t="n"/>
      <c r="L58" s="2" t="n"/>
      <c r="M58" s="2" t="n"/>
    </row>
    <row r="59">
      <c r="F59" s="420" t="inlineStr">
        <is>
          <t>砂川(50)</t>
        </is>
      </c>
      <c r="G59" s="340" t="n"/>
      <c r="H59" s="466" t="n"/>
      <c r="I59" s="131" t="n"/>
      <c r="J59" s="2" t="n"/>
      <c r="K59" s="2" t="n"/>
      <c r="L59" s="2" t="n"/>
      <c r="M59" s="2" t="n"/>
    </row>
    <row r="60">
      <c r="C60" s="2" t="inlineStr">
        <is>
          <t>高代</t>
        </is>
      </c>
      <c r="F60" s="420" t="inlineStr">
        <is>
          <t>前川(50)</t>
        </is>
      </c>
      <c r="G60" s="340" t="n"/>
      <c r="H60" s="466" t="n"/>
      <c r="I60" s="131" t="n"/>
      <c r="J60" s="2" t="n"/>
      <c r="K60" s="2" t="n"/>
      <c r="L60" s="2" t="n"/>
      <c r="M60" s="2" t="n"/>
    </row>
    <row r="61">
      <c r="C61" s="2" t="inlineStr">
        <is>
          <t>返還代</t>
        </is>
      </c>
      <c r="F61" s="420" t="inlineStr">
        <is>
          <t>佐藤(50)</t>
        </is>
      </c>
      <c r="G61" s="345" t="n"/>
      <c r="H61" s="466" t="n"/>
      <c r="I61" s="130" t="n"/>
      <c r="J61" s="2" t="n"/>
      <c r="K61" s="2" t="n"/>
      <c r="L61" s="2" t="n"/>
      <c r="M61" s="2" t="n"/>
    </row>
    <row r="62">
      <c r="C62" s="2" t="inlineStr">
        <is>
          <t>回収率</t>
        </is>
      </c>
      <c r="D62" s="50">
        <f>D61/D60</f>
        <v/>
      </c>
      <c r="F62" s="420" t="inlineStr">
        <is>
          <t>末次(55)</t>
        </is>
      </c>
      <c r="G62" s="340" t="n"/>
      <c r="H62" s="466" t="n"/>
      <c r="I62" s="131" t="n"/>
      <c r="J62" s="2" t="n"/>
      <c r="K62" s="2" t="n"/>
      <c r="L62" s="2" t="n"/>
      <c r="M62" s="2" t="n"/>
    </row>
    <row r="63">
      <c r="C63" s="2" t="inlineStr">
        <is>
          <t>費</t>
        </is>
      </c>
      <c r="D63" s="2">
        <f>D60-D61</f>
        <v/>
      </c>
      <c r="F63" s="420" t="inlineStr">
        <is>
          <t>筒井(75)</t>
        </is>
      </c>
      <c r="G63" s="340" t="n"/>
      <c r="H63" s="466" t="n"/>
      <c r="I63" s="131" t="n"/>
      <c r="J63" s="2" t="n"/>
      <c r="K63" s="2" t="n"/>
      <c r="L63" s="2" t="n"/>
      <c r="M63" s="2" t="n"/>
    </row>
    <row r="64">
      <c r="F64" s="420" t="inlineStr">
        <is>
          <t>山岸(40)</t>
        </is>
      </c>
      <c r="G64" s="340" t="n"/>
      <c r="H64" s="466" t="n"/>
      <c r="I64" s="131" t="n"/>
      <c r="J64" s="2" t="n"/>
      <c r="K64" s="2" t="n"/>
      <c r="L64" s="2" t="n"/>
      <c r="M64" s="2" t="n"/>
    </row>
    <row r="65" ht="17.25" customHeight="1" s="462">
      <c r="B65" s="71" t="n"/>
      <c r="F65" s="420" t="inlineStr">
        <is>
          <t>多苗(30)</t>
        </is>
      </c>
      <c r="G65" s="340" t="n"/>
      <c r="H65" s="466" t="n"/>
      <c r="I65" s="131" t="n"/>
      <c r="J65" s="2" t="n"/>
      <c r="K65" s="2" t="n"/>
      <c r="L65" s="2" t="inlineStr">
        <is>
          <t> </t>
        </is>
      </c>
      <c r="M65" s="2" t="n"/>
    </row>
    <row r="66">
      <c r="H66" s="2" t="n"/>
      <c r="I66" s="2" t="n"/>
      <c r="J66" s="2" t="n"/>
      <c r="K66" s="2" t="n"/>
      <c r="L66" s="2" t="n"/>
      <c r="M66" s="2" t="n"/>
    </row>
    <row r="67">
      <c r="H67" s="2" t="n"/>
      <c r="I67" s="2" t="n"/>
      <c r="J67" s="2" t="n"/>
      <c r="K67" s="2" t="n"/>
      <c r="L67" s="2" t="n"/>
      <c r="M67" s="2" t="n"/>
    </row>
    <row r="69" ht="23.25" customHeight="1" s="462"/>
  </sheetData>
  <mergeCells count="53">
    <mergeCell ref="Q16:R16"/>
    <mergeCell ref="G59:H59"/>
    <mergeCell ref="Q3:R3"/>
    <mergeCell ref="E24:F24"/>
    <mergeCell ref="E23:F23"/>
    <mergeCell ref="G61:H61"/>
    <mergeCell ref="C54:C55"/>
    <mergeCell ref="E39:F39"/>
    <mergeCell ref="D51:J51"/>
    <mergeCell ref="H23:J24"/>
    <mergeCell ref="B2:C2"/>
    <mergeCell ref="H25:J26"/>
    <mergeCell ref="D50:J50"/>
    <mergeCell ref="E29:F29"/>
    <mergeCell ref="D44:J44"/>
    <mergeCell ref="Q5:R5"/>
    <mergeCell ref="Q20:R20"/>
    <mergeCell ref="C56:C57"/>
    <mergeCell ref="D56:D57"/>
    <mergeCell ref="Q14:R14"/>
    <mergeCell ref="E28:F28"/>
    <mergeCell ref="G57:H57"/>
    <mergeCell ref="G62:H62"/>
    <mergeCell ref="E40:F40"/>
    <mergeCell ref="E31:F31"/>
    <mergeCell ref="Q4:R4"/>
    <mergeCell ref="D46:J46"/>
    <mergeCell ref="E30:F30"/>
    <mergeCell ref="K23:K24"/>
    <mergeCell ref="Q15:R15"/>
    <mergeCell ref="D45:J45"/>
    <mergeCell ref="E27:F27"/>
    <mergeCell ref="G58:H58"/>
    <mergeCell ref="G65:H65"/>
    <mergeCell ref="E36:F36"/>
    <mergeCell ref="G54:J55"/>
    <mergeCell ref="E26:F26"/>
    <mergeCell ref="D49:J49"/>
    <mergeCell ref="D58:D59"/>
    <mergeCell ref="G64:H64"/>
    <mergeCell ref="D54:D55"/>
    <mergeCell ref="K28:K29"/>
    <mergeCell ref="Q17:R17"/>
    <mergeCell ref="D48:J48"/>
    <mergeCell ref="E25:F25"/>
    <mergeCell ref="K25:K26"/>
    <mergeCell ref="G63:H63"/>
    <mergeCell ref="D47:J47"/>
    <mergeCell ref="E37:F37"/>
    <mergeCell ref="G60:H60"/>
    <mergeCell ref="F54:F55"/>
    <mergeCell ref="H28:J29"/>
    <mergeCell ref="D43:J43"/>
  </mergeCells>
  <conditionalFormatting sqref="L3:L20">
    <cfRule type="cellIs" priority="3" operator="greaterThan" dxfId="0">
      <formula>30</formula>
    </cfRule>
  </conditionalFormatting>
  <conditionalFormatting sqref="K25:K26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8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93"/>
  <sheetViews>
    <sheetView zoomScaleNormal="100" workbookViewId="0">
      <selection activeCell="C5" sqref="C5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2.625" bestFit="1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79" min="8" max="9"/>
    <col width="6.625" customWidth="1" style="449" min="10" max="10"/>
    <col width="20.25" customWidth="1" style="77" min="11" max="11"/>
    <col width="8.75" customWidth="1" style="449" min="12" max="13"/>
    <col width="8.75" customWidth="1" style="2" min="14" max="16384"/>
  </cols>
  <sheetData>
    <row r="1"/>
    <row r="2" ht="15" customHeight="1" s="462" thickBot="1">
      <c r="B2" s="493" t="n">
        <v>46193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46.5" customHeight="1" s="462">
      <c r="A4" s="423" t="n"/>
      <c r="B4" s="312" t="inlineStr">
        <is>
          <t xml:space="preserve">森本：定時
</t>
        </is>
      </c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441" t="n"/>
      <c r="D6" s="133" t="n"/>
      <c r="E6" s="441" t="n"/>
      <c r="F6" s="57" t="n"/>
      <c r="G6" s="59" t="n"/>
      <c r="H6" s="438" t="n"/>
      <c r="I6" s="295">
        <f>IFERROR(_xlfn.XLOOKUP(H6,案件・ドライバー一覧!$L$3:$L$17,案件・ドライバー一覧!$M$3:$M$17,""),"")</f>
        <v/>
      </c>
      <c r="J6" s="57" t="n"/>
      <c r="K6" s="72" t="n"/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441" t="n"/>
      <c r="D7" s="63" t="n"/>
      <c r="E7" s="441" t="n"/>
      <c r="F7" s="57" t="n"/>
      <c r="G7" s="68" t="n"/>
      <c r="H7" s="438" t="n"/>
      <c r="I7" s="295">
        <f>IFERROR(_xlfn.XLOOKUP(H7,案件・ドライバー一覧!$L$3:$L$17,案件・ドライバー一覧!$M$3:$M$17,""),"")</f>
        <v/>
      </c>
      <c r="J7" s="57" t="n"/>
      <c r="K7" s="73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</row>
    <row r="8" ht="36" customHeight="1" s="462">
      <c r="A8" s="423">
        <f>IF(B8="","",COUNTA($B$5:B8))</f>
        <v/>
      </c>
      <c r="B8" s="57" t="n"/>
      <c r="C8" s="64" t="n"/>
      <c r="D8" s="339" t="n"/>
      <c r="E8" s="62" t="n"/>
      <c r="F8" s="57" t="n"/>
      <c r="G8" s="66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36" customHeight="1" s="462">
      <c r="A9" s="423">
        <f>IF(B9="","",COUNTA($B$5:B9))</f>
        <v/>
      </c>
      <c r="B9" s="57" t="n"/>
      <c r="C9" s="63" t="n"/>
      <c r="D9" s="62" t="n"/>
      <c r="E9" s="441" t="n"/>
      <c r="F9" s="57" t="n"/>
      <c r="G9" s="65" t="n"/>
      <c r="H9" s="438" t="n"/>
      <c r="I9" s="427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4" t="n"/>
      <c r="D10" s="441" t="n"/>
      <c r="E10" s="441" t="n"/>
      <c r="F10" s="57" t="n"/>
      <c r="G10" s="59" t="n"/>
      <c r="H10" s="438" t="n"/>
      <c r="I10" s="295">
        <f>IFERROR(_xlfn.XLOOKUP(H10,案件・ドライバー一覧!$L$3:$L$17,案件・ドライバー一覧!$M$3:$M$17,""),"")</f>
        <v/>
      </c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420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295">
        <f>IFERROR(_xlfn.XLOOKUP(H16,案件・ドライバー一覧!$L$3:$L$17,案件・ドライバー一覧!$M$3:$M$17,""),"")</f>
        <v/>
      </c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16.5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441" t="n"/>
      <c r="D18" s="63" t="n"/>
      <c r="E18" s="441" t="n"/>
      <c r="F18" s="57" t="n"/>
      <c r="G18" s="59" t="n"/>
      <c r="H18" s="438" t="n"/>
      <c r="I18" s="427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438" t="n"/>
      <c r="I19" s="427" t="n"/>
      <c r="J19" s="57" t="n"/>
      <c r="K19" s="72" t="n"/>
      <c r="L19" s="61" t="n"/>
      <c r="N19" s="449" t="n"/>
      <c r="O19" s="449" t="n"/>
      <c r="P19" s="449" t="n"/>
      <c r="Q19" s="449" t="n"/>
      <c r="R19" s="449" t="n"/>
    </row>
    <row r="20" ht="27" customHeight="1" s="462">
      <c r="A20" s="423">
        <f>IF(B20="","",COUNTA($B$5:B20))</f>
        <v/>
      </c>
      <c r="B20" s="57" t="n"/>
      <c r="C20" s="63" t="n"/>
      <c r="D20" s="441" t="n"/>
      <c r="E20" s="441" t="n"/>
      <c r="F20" s="57" t="n"/>
      <c r="G20" s="65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441" t="n"/>
      <c r="D21" s="441" t="n"/>
      <c r="E21" s="441" t="n"/>
      <c r="F21" s="57" t="n"/>
      <c r="G21" s="65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  <c r="R21" s="449" t="n"/>
    </row>
    <row r="22" ht="28.5" customHeight="1" s="462">
      <c r="A22" s="423">
        <f>IF(B22="","",COUNTA($B$5:B22))</f>
        <v/>
      </c>
      <c r="B22" s="57" t="n"/>
      <c r="C22" s="64" t="n"/>
      <c r="D22" s="441" t="n"/>
      <c r="E22" s="63" t="n"/>
      <c r="F22" s="441" t="n"/>
      <c r="G22" s="59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  <c r="R25" s="449" t="n"/>
    </row>
    <row r="26" ht="27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15.75" customHeight="1" s="462">
      <c r="A28" s="423">
        <f>IF(B28="","",COUNTA($B$5:B28))</f>
        <v/>
      </c>
      <c r="B28" s="57" t="n"/>
      <c r="C28" s="63" t="n"/>
      <c r="D28" s="441" t="n"/>
      <c r="E28" s="441" t="n"/>
      <c r="F28" s="57" t="n"/>
      <c r="G28" s="65" t="n"/>
      <c r="H28" s="438" t="n"/>
      <c r="I28" s="427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  <c r="R28" s="449" t="n"/>
    </row>
    <row r="29" ht="27" customHeight="1" s="462">
      <c r="A29" s="423">
        <f>IF(B29="","",COUNTA($B$5:B29))</f>
        <v/>
      </c>
      <c r="B29" s="57" t="n"/>
      <c r="C29" s="63" t="n"/>
      <c r="D29" s="441" t="n"/>
      <c r="E29" s="441" t="n"/>
      <c r="F29" s="57" t="n"/>
      <c r="G29" s="65" t="n"/>
      <c r="H29" s="438" t="n"/>
      <c r="I29" s="427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N29" s="449" t="n"/>
      <c r="O29" s="449" t="n"/>
      <c r="P29" s="449" t="n"/>
      <c r="Q29" s="449" t="n"/>
      <c r="R29" s="449" t="n"/>
    </row>
    <row r="30" ht="27" customHeight="1" s="462">
      <c r="A30" s="423">
        <f>IF(B30="","",COUNTA($B$5:B30))</f>
        <v/>
      </c>
      <c r="B30" s="57" t="n"/>
      <c r="C30" s="63" t="n"/>
      <c r="D30" s="441" t="n"/>
      <c r="E30" s="441" t="n"/>
      <c r="F30" s="57" t="n"/>
      <c r="G30" s="65" t="n"/>
      <c r="H30" s="438" t="n"/>
      <c r="I30" s="427" t="n"/>
      <c r="J30" s="57" t="n"/>
      <c r="K30" s="72" t="n"/>
      <c r="L30" s="61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IF(B31="","",COUNTA($B$5:B31))</f>
        <v/>
      </c>
      <c r="B31" s="57" t="n"/>
      <c r="C31" s="62" t="n"/>
      <c r="D31" s="63" t="n"/>
      <c r="E31" s="441" t="n"/>
      <c r="F31" s="57" t="n"/>
      <c r="G31" s="66" t="n"/>
      <c r="H31" s="438" t="n"/>
      <c r="I31" s="427" t="n"/>
      <c r="J31" s="57" t="n"/>
      <c r="K31" s="73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N31" s="449" t="n"/>
      <c r="O31" s="449" t="n"/>
      <c r="P31" s="449" t="n"/>
      <c r="Q31" s="449" t="n"/>
    </row>
    <row r="32" ht="27" customHeight="1" s="462">
      <c r="A32" s="423">
        <f>IF(B32="","",COUNTA($B$5:B32))</f>
        <v/>
      </c>
      <c r="B32" s="57" t="n"/>
      <c r="C32" s="63" t="n"/>
      <c r="D32" s="64" t="n"/>
      <c r="E32" s="420" t="n"/>
      <c r="F32" s="57" t="n"/>
      <c r="G32" s="66" t="n"/>
      <c r="H32" s="438" t="n"/>
      <c r="I32" s="438" t="n"/>
      <c r="J32" s="420" t="n"/>
      <c r="K32" s="73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N32" s="449" t="n"/>
      <c r="O32" s="449" t="n"/>
      <c r="P32" s="449" t="n"/>
      <c r="Q32" s="449" t="n"/>
    </row>
    <row r="33" ht="27" customHeight="1" s="462">
      <c r="A33" s="423">
        <f>IF(B33="","",COUNTA($B$5:B33))</f>
        <v/>
      </c>
      <c r="B33" s="57" t="n"/>
      <c r="C33" s="63" t="n"/>
      <c r="D33" s="64" t="n"/>
      <c r="E33" s="57" t="n"/>
      <c r="F33" s="57" t="n"/>
      <c r="G33" s="66" t="n"/>
      <c r="H33" s="438" t="n"/>
      <c r="I33" s="427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N33" s="449" t="n"/>
      <c r="O33" s="449" t="n"/>
      <c r="P33" s="449" t="n"/>
      <c r="Q33" s="449" t="n"/>
      <c r="R33" s="449" t="n"/>
    </row>
    <row r="34" ht="27" customHeight="1" s="462">
      <c r="A34" s="423">
        <f>IF(B34="","",COUNTA($B$5:B34))</f>
        <v/>
      </c>
      <c r="B34" s="57" t="n"/>
      <c r="C34" s="64" t="n"/>
      <c r="D34" s="63" t="n"/>
      <c r="E34" s="441" t="n"/>
      <c r="F34" s="441" t="n"/>
      <c r="G34" s="59" t="n"/>
      <c r="H34" s="438" t="n"/>
      <c r="I34" s="427" t="n"/>
      <c r="J34" s="57" t="n"/>
      <c r="K34" s="72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N34" s="449" t="n"/>
      <c r="O34" s="449" t="n"/>
      <c r="P34" s="449" t="n"/>
      <c r="Q34" s="449" t="n"/>
    </row>
    <row r="35" ht="27" customHeight="1" s="462">
      <c r="A35" s="423">
        <f>IF(B35="","",COUNTA($B$5:B35))</f>
        <v/>
      </c>
      <c r="B35" s="57" t="n"/>
      <c r="C35" s="57" t="n"/>
      <c r="D35" s="441" t="n"/>
      <c r="E35" s="63" t="n"/>
      <c r="F35" s="57" t="n"/>
      <c r="G35" s="247" t="n"/>
      <c r="H35" s="438" t="n"/>
      <c r="I35" s="427" t="n"/>
      <c r="J35" s="57" t="n"/>
      <c r="K35" s="7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N35" s="449" t="n"/>
      <c r="O35" s="449" t="n"/>
      <c r="P35" s="449" t="n"/>
      <c r="Q35" s="449" t="n"/>
    </row>
    <row r="36" ht="27.75" customHeight="1" s="462">
      <c r="A36" s="423">
        <f>IF(B36="","",COUNTA($B$5:B36))</f>
        <v/>
      </c>
      <c r="B36" s="441" t="n"/>
      <c r="C36" s="440" t="n"/>
      <c r="D36" s="441" t="n"/>
      <c r="E36" s="440" t="n"/>
      <c r="F36" s="57" t="n"/>
      <c r="G36" s="65" t="n"/>
      <c r="H36" s="438" t="n"/>
      <c r="I36" s="438" t="n"/>
      <c r="J36" s="420" t="n"/>
      <c r="K36" s="72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N36" s="449" t="n"/>
      <c r="O36" s="449" t="n"/>
      <c r="P36" s="449" t="n"/>
      <c r="Q36" s="449" t="n"/>
    </row>
    <row r="37" ht="27" customHeight="1" s="462">
      <c r="A37" s="423">
        <f>IF(B37="","",COUNTA($B$5:B37))</f>
        <v/>
      </c>
      <c r="B37" s="441" t="n"/>
      <c r="C37" s="63" t="n"/>
      <c r="D37" s="440" t="n"/>
      <c r="E37" s="441" t="n"/>
      <c r="F37" s="57" t="n"/>
      <c r="G37" s="59" t="n"/>
      <c r="H37" s="438" t="n"/>
      <c r="I37" s="427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N37" s="449" t="n"/>
      <c r="O37" s="449" t="n"/>
      <c r="P37" s="449" t="n"/>
      <c r="Q37" s="449" t="n"/>
    </row>
    <row r="38" ht="27" customHeight="1" s="462">
      <c r="A38" s="423">
        <f>IF(B38="","",COUNTA($B$5:B38))</f>
        <v/>
      </c>
      <c r="B38" s="441" t="n"/>
      <c r="C38" s="63" t="n"/>
      <c r="D38" s="440" t="n"/>
      <c r="E38" s="441" t="n"/>
      <c r="F38" s="57" t="n"/>
      <c r="G38" s="59" t="n"/>
      <c r="H38" s="438" t="n"/>
      <c r="I38" s="427" t="n"/>
      <c r="J38" s="57" t="n"/>
      <c r="K38" s="73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N38" s="449" t="n"/>
      <c r="O38" s="449" t="n"/>
      <c r="P38" s="449" t="n"/>
      <c r="Q38" s="449" t="n"/>
      <c r="R38" s="449" t="n"/>
    </row>
    <row r="39" ht="27" customHeight="1" s="462">
      <c r="A39" s="423">
        <f>IF(B39="","",COUNTA($B$5:B39))</f>
        <v/>
      </c>
      <c r="B39" s="441" t="n"/>
      <c r="C39" s="63" t="n"/>
      <c r="D39" s="440" t="n"/>
      <c r="E39" s="441" t="n"/>
      <c r="F39" s="57" t="n"/>
      <c r="G39" s="59" t="n"/>
      <c r="H39" s="438" t="n"/>
      <c r="I39" s="427" t="n"/>
      <c r="J39" s="57" t="n"/>
      <c r="K39" s="73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N39" s="449" t="n"/>
      <c r="O39" s="449" t="n"/>
      <c r="P39" s="449" t="n"/>
      <c r="Q39" s="449" t="n"/>
      <c r="R39" s="449" t="n"/>
    </row>
    <row r="40" ht="27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74" t="n"/>
      <c r="I40" s="80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N40" s="449" t="n"/>
      <c r="O40" s="449" t="n"/>
      <c r="P40" s="449" t="n"/>
      <c r="Q40" s="449" t="n"/>
      <c r="R40" s="449" t="n"/>
    </row>
    <row r="41" ht="27" customHeight="1" s="462">
      <c r="A41" s="423">
        <f>IF(B41="","",COUNTA($B$5:B41))</f>
        <v/>
      </c>
      <c r="B41" s="57" t="n"/>
      <c r="C41" s="420" t="n"/>
      <c r="D41" s="57" t="n"/>
      <c r="E41" s="441" t="n"/>
      <c r="F41" s="57" t="n"/>
      <c r="G41" s="59" t="n"/>
      <c r="H41" s="74" t="n"/>
      <c r="I41" s="74" t="n"/>
      <c r="J41" s="420" t="n"/>
      <c r="K41" s="22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N41" s="449" t="n"/>
      <c r="O41" s="449" t="n"/>
      <c r="P41" s="449" t="n"/>
      <c r="Q41" s="449" t="n"/>
    </row>
    <row r="42" ht="27.75" customHeight="1" s="462">
      <c r="A42" s="423">
        <f>IF(B42="","",COUNTA($B$5:B42))</f>
        <v/>
      </c>
      <c r="B42" s="441" t="n"/>
      <c r="C42" s="440" t="n"/>
      <c r="D42" s="441" t="n"/>
      <c r="E42" s="440" t="n"/>
      <c r="F42" s="57" t="n"/>
      <c r="G42" s="65" t="n"/>
      <c r="H42" s="80" t="n"/>
      <c r="I42" s="80" t="n"/>
      <c r="J42" s="57" t="n"/>
      <c r="K42" s="72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61" t="n"/>
      <c r="N42" s="449" t="n"/>
      <c r="O42" s="449" t="n"/>
      <c r="P42" s="449" t="n"/>
      <c r="Q42" s="449" t="n"/>
      <c r="R42" s="449" t="n"/>
    </row>
    <row r="43" ht="27" customHeight="1" s="462">
      <c r="A43" s="423">
        <f>IF(B43="","",COUNTA($B$5:B43))</f>
        <v/>
      </c>
      <c r="B43" s="441" t="n"/>
      <c r="C43" s="63" t="n"/>
      <c r="D43" s="440" t="n"/>
      <c r="E43" s="441" t="n"/>
      <c r="F43" s="57" t="n"/>
      <c r="G43" s="59" t="n"/>
      <c r="H43" s="60" t="n"/>
      <c r="I43" s="60" t="n"/>
      <c r="J43" s="57" t="n"/>
      <c r="K43" s="73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61" t="n"/>
      <c r="N43" s="449" t="n"/>
      <c r="O43" s="449" t="n"/>
      <c r="P43" s="449" t="n"/>
      <c r="Q43" s="449" t="n"/>
    </row>
    <row r="44" ht="27" customHeight="1" s="462">
      <c r="A44" s="423">
        <f>IF(B44="","",COUNTA($B$5:B44))</f>
        <v/>
      </c>
      <c r="B44" s="441" t="n"/>
      <c r="C44" s="63" t="n"/>
      <c r="D44" s="440" t="n"/>
      <c r="E44" s="441" t="n"/>
      <c r="F44" s="57" t="n"/>
      <c r="G44" s="59" t="n"/>
      <c r="H44" s="60" t="n"/>
      <c r="I44" s="60" t="n"/>
      <c r="J44" s="57" t="n"/>
      <c r="K44" s="73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61" t="n"/>
      <c r="N44" s="449" t="n"/>
      <c r="O44" s="449" t="n"/>
      <c r="P44" s="449" t="n"/>
      <c r="Q44" s="449" t="n"/>
      <c r="R44" s="449" t="n"/>
    </row>
    <row r="45" ht="27" customHeight="1" s="462">
      <c r="A45" s="423">
        <f>IF(B45="","",COUNTA($B$5:B45))</f>
        <v/>
      </c>
      <c r="B45" s="441" t="n"/>
      <c r="C45" s="63" t="n"/>
      <c r="D45" s="440" t="n"/>
      <c r="E45" s="441" t="n"/>
      <c r="F45" s="57" t="n"/>
      <c r="G45" s="59" t="n"/>
      <c r="H45" s="60" t="n"/>
      <c r="I45" s="60" t="n"/>
      <c r="J45" s="57" t="n"/>
      <c r="K45" s="73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61" t="n"/>
      <c r="N45" s="449" t="n"/>
      <c r="O45" s="449" t="n"/>
      <c r="P45" s="449" t="n"/>
      <c r="Q45" s="449" t="n"/>
      <c r="R45" s="449" t="n"/>
    </row>
    <row r="46" ht="27" customHeight="1" s="462">
      <c r="A46" s="423">
        <f>IF(B46="","",COUNTA($B$5:B46))</f>
        <v/>
      </c>
      <c r="B46" s="420" t="n"/>
      <c r="C46" s="420" t="n"/>
      <c r="D46" s="420" t="n"/>
      <c r="E46" s="420" t="n"/>
      <c r="F46" s="420" t="n"/>
      <c r="G46" s="69" t="n"/>
      <c r="H46" s="70" t="n"/>
      <c r="I46" s="70" t="n"/>
      <c r="J46" s="420" t="n"/>
      <c r="K46" s="22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61" t="n"/>
      <c r="N46" s="449" t="n"/>
      <c r="O46" s="449" t="n"/>
      <c r="P46" s="449" t="n"/>
      <c r="Q46" s="449" t="n"/>
    </row>
    <row r="47">
      <c r="B47" s="18" t="n"/>
      <c r="C47" s="18" t="n"/>
      <c r="D47" s="18" t="n"/>
      <c r="E47" s="18" t="n"/>
      <c r="F47" s="18" t="n"/>
      <c r="G47" s="19" t="n"/>
      <c r="H47" s="33" t="n"/>
      <c r="I47" s="18" t="n"/>
      <c r="J47" s="18" t="n"/>
      <c r="K47" s="18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7" s="2" t="n"/>
      <c r="M47" s="2" t="n"/>
    </row>
    <row r="48" ht="14.25" customHeight="1" s="462" thickBot="1">
      <c r="H48" s="2" t="n"/>
      <c r="I48" s="2" t="n"/>
      <c r="J48" s="2" t="n"/>
      <c r="K48" s="2">
        <f t="array" ref="K48">IF(OR(H48="",L48=""),"",IFERROR(_xlfn.LET(_xlpm.vt,VLOOKUP(IFERROR(VALUE(LEFT(H48,FIND("＊",H48&amp;"＊")-1)),H48),運賃マスター!$A$22:$B$40,2,FALSE),_xlpm.d,L48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8" s="2" t="n"/>
      <c r="M48" s="2" t="n"/>
    </row>
    <row r="49">
      <c r="B49" s="22" t="n"/>
      <c r="C49" s="25" t="n"/>
      <c r="D49" s="25" t="inlineStr">
        <is>
          <t>現在待機場所</t>
        </is>
      </c>
      <c r="E49" s="25" t="inlineStr">
        <is>
          <t>待機予定場所</t>
        </is>
      </c>
      <c r="F49" s="466" t="n"/>
      <c r="H49" s="375" t="inlineStr">
        <is>
          <t>目標距離</t>
        </is>
      </c>
      <c r="I49" s="465" t="n"/>
      <c r="J49" s="467" t="n"/>
      <c r="K49" s="377">
        <f t="array" ref="K49">IF(OR(H49="",L49=""),"",IFERROR(_xlfn.LET(_xlpm.vt,VLOOKUP(IFERROR(VALUE(LEFT(H49,FIND("＊",H49&amp;"＊")-1)),H49),運賃マスター!$A$22:$B$40,2,FALSE),_xlpm.d,L49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9" s="2" t="n"/>
      <c r="M49" s="2" t="n"/>
    </row>
    <row r="50" ht="14.25" customHeight="1" s="462" thickBot="1">
      <c r="B50" s="26" t="inlineStr">
        <is>
          <t>2(255)</t>
        </is>
      </c>
      <c r="C50" s="21" t="inlineStr">
        <is>
          <t>山岸</t>
        </is>
      </c>
      <c r="D50" s="34" t="n"/>
      <c r="E50" s="34" t="n"/>
      <c r="F50" s="466" t="n"/>
      <c r="H50" s="468" t="n"/>
      <c r="I50" s="477" t="n"/>
      <c r="J50" s="469" t="n"/>
      <c r="K50" s="470" t="n"/>
      <c r="L50" s="2" t="n"/>
      <c r="M50" s="2" t="n"/>
    </row>
    <row r="51">
      <c r="B51" s="26" t="inlineStr">
        <is>
          <t>8(254)</t>
        </is>
      </c>
      <c r="C51" s="21" t="inlineStr">
        <is>
          <t>砂川</t>
        </is>
      </c>
      <c r="D51" s="35" t="n"/>
      <c r="E51" s="35" t="n"/>
      <c r="F51" s="466" t="n"/>
      <c r="H51" s="368" t="inlineStr">
        <is>
          <t>残距離</t>
        </is>
      </c>
      <c r="J51" s="471" t="n"/>
      <c r="K51" s="354">
        <f>550-SUM(L3:L46)-SUM(#REF!)</f>
        <v/>
      </c>
      <c r="L51" s="2" t="n"/>
      <c r="M51" s="2" t="n"/>
    </row>
    <row r="52" ht="14.25" customHeight="1" s="462" thickBot="1">
      <c r="B52" s="26" t="inlineStr">
        <is>
          <t>9(256)</t>
        </is>
      </c>
      <c r="C52" s="21" t="inlineStr">
        <is>
          <t>前川</t>
        </is>
      </c>
      <c r="D52" s="35" t="n"/>
      <c r="E52" s="35" t="n"/>
      <c r="F52" s="466" t="n"/>
      <c r="H52" s="468" t="n"/>
      <c r="I52" s="477" t="n"/>
      <c r="J52" s="469" t="n"/>
      <c r="K52" s="472" t="n"/>
      <c r="L52" s="2" t="n"/>
      <c r="M52" s="2" t="n"/>
    </row>
    <row r="53" ht="14.25" customHeight="1" s="462" thickBot="1">
      <c r="B53" s="26" t="inlineStr">
        <is>
          <t>10(257)</t>
        </is>
      </c>
      <c r="C53" s="35" t="n"/>
      <c r="D53" s="35" t="n"/>
      <c r="E53" s="35" t="n"/>
      <c r="F53" s="466" t="n"/>
      <c r="H53" s="2" t="n"/>
      <c r="I53" s="2" t="n"/>
      <c r="J53" s="2" t="n"/>
      <c r="K53" s="2" t="n"/>
      <c r="L53" s="2" t="n"/>
      <c r="M53" s="2" t="n"/>
    </row>
    <row r="54">
      <c r="B54" s="26" t="inlineStr">
        <is>
          <t>11(258)</t>
        </is>
      </c>
      <c r="C54" s="21" t="inlineStr">
        <is>
          <t>郡司</t>
        </is>
      </c>
      <c r="D54" s="35" t="n"/>
      <c r="E54" s="35" t="n"/>
      <c r="F54" s="466" t="n"/>
      <c r="H54" s="350" t="inlineStr">
        <is>
          <t>依頼件数</t>
        </is>
      </c>
      <c r="I54" s="465" t="n"/>
      <c r="J54" s="467" t="n"/>
      <c r="K54" s="354">
        <f>SUM(P3:P46)+SUM(SUM(#REF!))</f>
        <v/>
      </c>
      <c r="L54" s="2" t="n"/>
      <c r="M54" s="2" t="n"/>
    </row>
    <row r="55" ht="14.25" customHeight="1" s="462" thickBot="1">
      <c r="B55" s="26" t="inlineStr">
        <is>
          <t>12(736)</t>
        </is>
      </c>
      <c r="C55" s="21" t="n"/>
      <c r="D55" s="35" t="n"/>
      <c r="E55" s="35" t="n"/>
      <c r="F55" s="466" t="n"/>
      <c r="H55" s="468" t="n"/>
      <c r="I55" s="477" t="n"/>
      <c r="J55" s="469" t="n"/>
      <c r="K55" s="472" t="n"/>
      <c r="L55" s="2" t="n"/>
      <c r="M55" s="2" t="n"/>
    </row>
    <row r="56" ht="16.5" customHeight="1" s="462">
      <c r="B56" s="26" t="inlineStr">
        <is>
          <t>13(737)</t>
        </is>
      </c>
      <c r="C56" s="21" t="n"/>
      <c r="D56" s="35" t="n"/>
      <c r="E56" s="35" t="n"/>
      <c r="F56" s="466" t="n"/>
      <c r="H56" s="38" t="n"/>
      <c r="I56" s="38" t="n"/>
      <c r="J56" s="38" t="n"/>
      <c r="K56" s="39" t="n"/>
      <c r="L56" s="2" t="n"/>
      <c r="M56" s="2" t="n"/>
    </row>
    <row r="57" ht="16.5" customHeight="1" s="462">
      <c r="B57" s="40" t="inlineStr">
        <is>
          <t>14(738)</t>
        </is>
      </c>
      <c r="C57" s="21" t="inlineStr">
        <is>
          <t>辻井</t>
        </is>
      </c>
      <c r="D57" s="35" t="n"/>
      <c r="E57" s="35" t="n"/>
      <c r="F57" s="466" t="n"/>
      <c r="H57" s="38" t="n"/>
      <c r="I57" s="38" t="n"/>
      <c r="J57" s="38" t="n"/>
      <c r="K57" s="39" t="n"/>
      <c r="L57" s="2" t="n"/>
      <c r="M57" s="2" t="n"/>
    </row>
    <row r="58" ht="8.25" customHeight="1" s="462">
      <c r="B58" s="41" t="n"/>
      <c r="C58" s="42" t="n"/>
      <c r="D58" s="43" t="n"/>
      <c r="E58" s="44" t="n"/>
      <c r="F58" s="349" t="n"/>
      <c r="H58" s="38" t="n"/>
      <c r="I58" s="38" t="n"/>
      <c r="J58" s="38" t="n"/>
      <c r="K58" s="39" t="n"/>
      <c r="L58" s="2" t="n"/>
      <c r="M58" s="2" t="n"/>
    </row>
    <row r="59" ht="17.25" customHeight="1" s="462">
      <c r="B59" s="45" t="n">
        <v>7290</v>
      </c>
      <c r="C59" s="21" t="inlineStr">
        <is>
          <t>佐藤</t>
        </is>
      </c>
      <c r="D59" s="35" t="n"/>
      <c r="E59" s="348" t="n"/>
      <c r="F59" s="349" t="n"/>
      <c r="H59" s="38" t="n"/>
      <c r="I59" s="38" t="n"/>
      <c r="J59" s="38" t="n"/>
      <c r="K59" s="39" t="n"/>
      <c r="L59" s="2" t="n"/>
      <c r="M59" s="2" t="n"/>
    </row>
    <row r="60" ht="17.25" customHeight="1" s="462">
      <c r="B60" s="45" t="n">
        <v>7291</v>
      </c>
      <c r="C60" s="21" t="inlineStr">
        <is>
          <t>末次</t>
        </is>
      </c>
      <c r="D60" s="35" t="n"/>
      <c r="E60" s="348" t="n"/>
      <c r="F60" s="349" t="n"/>
      <c r="H60" s="38" t="n"/>
      <c r="I60" s="38" t="n"/>
      <c r="J60" s="38" t="n"/>
      <c r="K60" s="39" t="n"/>
      <c r="L60" s="2" t="n"/>
      <c r="M60" s="2" t="n"/>
    </row>
    <row r="61" ht="9" customHeight="1" s="462">
      <c r="B61" s="41" t="n"/>
      <c r="C61" s="42" t="n"/>
      <c r="D61" s="44" t="n"/>
      <c r="E61" s="44" t="n"/>
      <c r="F61" s="349" t="n"/>
      <c r="H61" s="38" t="n"/>
      <c r="I61" s="38" t="n"/>
      <c r="J61" s="38" t="n"/>
      <c r="K61" s="39" t="n"/>
      <c r="L61" s="2" t="n"/>
      <c r="M61" s="2" t="n"/>
    </row>
    <row r="62" ht="16.5" customHeight="1" s="462">
      <c r="B62" s="45" t="n">
        <v>333</v>
      </c>
      <c r="C62" s="21" t="inlineStr">
        <is>
          <t>金井/奥田</t>
        </is>
      </c>
      <c r="D62" s="35" t="n"/>
      <c r="E62" s="484" t="n"/>
      <c r="F62" s="469" t="n"/>
      <c r="H62" s="38" t="n"/>
      <c r="I62" s="38" t="n"/>
      <c r="J62" s="38" t="n"/>
      <c r="K62" s="39" t="n"/>
      <c r="L62" s="2" t="n"/>
      <c r="M62" s="2" t="n"/>
    </row>
    <row r="63" ht="16.5" customHeight="1" s="462">
      <c r="B63" s="46" t="n">
        <v>666</v>
      </c>
      <c r="C63" s="21" t="inlineStr">
        <is>
          <t>徳留</t>
        </is>
      </c>
      <c r="D63" s="35" t="n"/>
      <c r="E63" s="35" t="n"/>
      <c r="F63" s="466" t="n"/>
      <c r="H63" s="38" t="n"/>
      <c r="I63" s="38" t="n"/>
      <c r="J63" s="38" t="n"/>
      <c r="K63" s="39" t="n"/>
      <c r="L63" s="2" t="n"/>
      <c r="M63" s="2" t="n"/>
    </row>
    <row r="64" ht="16.5" customHeight="1" s="462">
      <c r="B64" s="46" t="n">
        <v>777</v>
      </c>
      <c r="C64" s="21" t="n"/>
      <c r="D64" s="35" t="n"/>
      <c r="E64" s="348" t="n"/>
      <c r="F64" s="349" t="n"/>
      <c r="H64" s="38" t="n"/>
      <c r="I64" s="38" t="n"/>
      <c r="J64" s="38" t="n"/>
      <c r="K64" s="39" t="n"/>
      <c r="L64" s="2" t="n"/>
      <c r="M64" s="2" t="n"/>
    </row>
    <row r="65" ht="16.5" customHeight="1" s="462">
      <c r="B65" s="47" t="n">
        <v>330</v>
      </c>
      <c r="C65" s="21" t="n"/>
      <c r="D65" s="35" t="n"/>
      <c r="E65" s="35" t="n"/>
      <c r="F65" s="466" t="n"/>
      <c r="H65" s="38" t="n"/>
      <c r="I65" s="38" t="n"/>
      <c r="J65" s="38" t="n"/>
      <c r="K65" s="39" t="n"/>
      <c r="L65" s="2" t="n"/>
      <c r="M65" s="2" t="n"/>
    </row>
    <row r="66" ht="16.5" customHeight="1" s="462">
      <c r="B66" s="47" t="n">
        <v>990</v>
      </c>
      <c r="C66" s="21" t="inlineStr">
        <is>
          <t>山原</t>
        </is>
      </c>
      <c r="D66" s="35" t="n"/>
      <c r="E66" s="35" t="n"/>
      <c r="F66" s="466" t="n"/>
      <c r="H66" s="38" t="n"/>
      <c r="I66" s="38" t="n"/>
      <c r="J66" s="38" t="n"/>
      <c r="K66" s="39" t="n"/>
      <c r="L66" s="2" t="n"/>
      <c r="M66" s="2" t="n"/>
    </row>
    <row r="67">
      <c r="H67" s="2" t="n"/>
      <c r="I67" s="2" t="n"/>
      <c r="J67" s="2" t="n"/>
      <c r="K67" s="2" t="n"/>
      <c r="L67" s="2" t="n"/>
      <c r="M67" s="2" t="n"/>
    </row>
    <row r="68">
      <c r="C68" s="449" t="inlineStr">
        <is>
          <t>出発→到着</t>
        </is>
      </c>
      <c r="D68" s="420" t="inlineStr">
        <is>
          <t>備考</t>
        </is>
      </c>
      <c r="H68" s="2" t="n"/>
      <c r="I68" s="2" t="n"/>
      <c r="J68" s="2" t="n"/>
      <c r="K68" s="2" t="n"/>
      <c r="L68" s="2" t="n"/>
      <c r="M68" s="2" t="n"/>
    </row>
    <row r="69">
      <c r="B69" s="27" t="inlineStr">
        <is>
          <t>①</t>
        </is>
      </c>
      <c r="C69" s="449" t="inlineStr">
        <is>
          <t>東→西</t>
        </is>
      </c>
      <c r="D69" s="485" t="inlineStr">
        <is>
          <t>①Aチーム優先</t>
        </is>
      </c>
      <c r="E69" s="486" t="n"/>
      <c r="F69" s="486" t="n"/>
      <c r="G69" s="486" t="n"/>
      <c r="H69" s="486" t="n"/>
      <c r="I69" s="486" t="n"/>
      <c r="J69" s="466" t="n"/>
      <c r="K69" s="2" t="n"/>
      <c r="L69" s="2" t="n"/>
      <c r="M69" s="2" t="n"/>
    </row>
    <row r="70">
      <c r="B70" s="27" t="inlineStr">
        <is>
          <t>②</t>
        </is>
      </c>
      <c r="C70" s="449" t="inlineStr">
        <is>
          <t>東→東</t>
        </is>
      </c>
      <c r="D70" s="485" t="inlineStr">
        <is>
          <t>②急ぎ案件の場合、道路状況も伝えてあげる。</t>
        </is>
      </c>
      <c r="E70" s="486" t="n"/>
      <c r="F70" s="486" t="n"/>
      <c r="G70" s="486" t="n"/>
      <c r="H70" s="486" t="n"/>
      <c r="I70" s="486" t="n"/>
      <c r="J70" s="466" t="n"/>
      <c r="K70" s="2" t="n"/>
      <c r="L70" s="2" t="n"/>
      <c r="M70" s="2" t="n"/>
    </row>
    <row r="71">
      <c r="B71" s="27" t="inlineStr">
        <is>
          <t>③</t>
        </is>
      </c>
      <c r="C71" s="449" t="inlineStr">
        <is>
          <t>西→東</t>
        </is>
      </c>
      <c r="D71" s="485" t="inlineStr">
        <is>
          <t>③各ドライバーの位置からの帰社のタイミング・夕方の配置</t>
        </is>
      </c>
      <c r="E71" s="486" t="n"/>
      <c r="F71" s="486" t="n"/>
      <c r="G71" s="486" t="n"/>
      <c r="H71" s="486" t="n"/>
      <c r="I71" s="486" t="n"/>
      <c r="J71" s="466" t="n"/>
      <c r="K71" s="2" t="n"/>
      <c r="L71" s="2" t="n"/>
      <c r="M71" s="2" t="n"/>
    </row>
    <row r="72">
      <c r="B72" s="27" t="inlineStr">
        <is>
          <t>④</t>
        </is>
      </c>
      <c r="C72" s="449" t="inlineStr">
        <is>
          <t>西→西</t>
        </is>
      </c>
      <c r="D72" s="485" t="inlineStr">
        <is>
          <t>④依頼を受ける際の、希望時間と現状の位置。行けるか行けないかの判断をしっかりと。</t>
        </is>
      </c>
      <c r="E72" s="486" t="n"/>
      <c r="F72" s="486" t="n"/>
      <c r="G72" s="486" t="n"/>
      <c r="H72" s="486" t="n"/>
      <c r="I72" s="486" t="n"/>
      <c r="J72" s="466" t="n"/>
      <c r="K72" s="2" t="n"/>
      <c r="L72" s="2" t="n"/>
      <c r="M72" s="2" t="n"/>
    </row>
    <row r="73">
      <c r="D73" s="485" t="inlineStr">
        <is>
          <t>⑤軽に乗るか乗らないかの判断に気を付ける。</t>
        </is>
      </c>
      <c r="E73" s="486" t="n"/>
      <c r="F73" s="486" t="n"/>
      <c r="G73" s="486" t="n"/>
      <c r="H73" s="486" t="n"/>
      <c r="I73" s="486" t="n"/>
      <c r="J73" s="466" t="n"/>
      <c r="K73" s="2" t="n"/>
      <c r="L73" s="2" t="n"/>
      <c r="M73" s="2" t="n"/>
    </row>
    <row r="74">
      <c r="B74" s="22" t="n"/>
      <c r="C74" s="420" t="inlineStr">
        <is>
          <t>現状配置(予測)</t>
        </is>
      </c>
      <c r="D74" s="485" t="inlineStr">
        <is>
          <t>⑥18/1日、1.8/1人、3件/1人</t>
        </is>
      </c>
      <c r="E74" s="486" t="n"/>
      <c r="F74" s="486" t="n"/>
      <c r="G74" s="486" t="n"/>
      <c r="H74" s="486" t="n"/>
      <c r="I74" s="486" t="n"/>
      <c r="J74" s="466" t="n"/>
      <c r="K74" s="2" t="n"/>
      <c r="L74" s="2" t="n"/>
      <c r="M74" s="2" t="n"/>
    </row>
    <row r="75">
      <c r="B75" s="420" t="inlineStr">
        <is>
          <t>西(神戸西・弥栄台)</t>
        </is>
      </c>
      <c r="C75" s="420" t="n"/>
      <c r="D75" s="485" t="inlineStr">
        <is>
          <t>⑦依頼書の見落とし(日付、入替、入出庫、場所）</t>
        </is>
      </c>
      <c r="E75" s="486" t="n"/>
      <c r="F75" s="486" t="n"/>
      <c r="G75" s="486" t="n"/>
      <c r="H75" s="486" t="n"/>
      <c r="I75" s="486" t="n"/>
      <c r="J75" s="466" t="n"/>
      <c r="K75" s="2" t="n"/>
      <c r="L75" s="2" t="n"/>
      <c r="M75" s="2" t="n"/>
    </row>
    <row r="76">
      <c r="B76" s="420" t="inlineStr">
        <is>
          <t>真ん中(摩耶・中央)</t>
        </is>
      </c>
      <c r="C76" s="420" t="n"/>
      <c r="D76" s="485" t="inlineStr">
        <is>
          <t>⑧3ｔ車と2ｔ車への振り方(西と東に振り分ける)</t>
        </is>
      </c>
      <c r="E76" s="486" t="n"/>
      <c r="F76" s="486" t="n"/>
      <c r="G76" s="486" t="n"/>
      <c r="H76" s="486" t="n"/>
      <c r="I76" s="486" t="n"/>
      <c r="J76" s="466" t="n"/>
      <c r="K76" s="2" t="n"/>
      <c r="L76" s="2" t="n"/>
      <c r="M76" s="2" t="n"/>
    </row>
    <row r="77">
      <c r="B77" s="420" t="inlineStr">
        <is>
          <t>東(尼崎・伊丹・西宮)</t>
        </is>
      </c>
      <c r="C77" s="420" t="n"/>
      <c r="D77" s="485" t="inlineStr">
        <is>
          <t>⑨</t>
        </is>
      </c>
      <c r="E77" s="486" t="n"/>
      <c r="F77" s="486" t="n"/>
      <c r="G77" s="486" t="n"/>
      <c r="H77" s="486" t="n"/>
      <c r="I77" s="486" t="n"/>
      <c r="J77" s="466" t="n"/>
      <c r="K77" s="2" t="n"/>
      <c r="L77" s="2" t="n"/>
      <c r="M77" s="2" t="n"/>
    </row>
    <row r="78">
      <c r="B78" s="48" t="inlineStr">
        <is>
          <t>極東(港区・淀屋橋)</t>
        </is>
      </c>
      <c r="C78" s="420" t="n"/>
      <c r="D78" s="49" t="n"/>
      <c r="E78" s="49" t="n"/>
      <c r="F78" s="49" t="n"/>
      <c r="G78" s="49" t="n"/>
      <c r="H78" s="49" t="n"/>
      <c r="I78" s="49" t="n"/>
      <c r="J78" s="49" t="n"/>
      <c r="K78" s="2" t="n"/>
      <c r="L78" s="2" t="n"/>
      <c r="M78" s="2" t="n"/>
    </row>
    <row r="79" ht="14.25" customHeight="1" s="462" thickBot="1">
      <c r="H79" s="2" t="n"/>
      <c r="I79" s="2" t="n"/>
      <c r="J79" s="2" t="n"/>
      <c r="K79" s="2" t="n"/>
      <c r="L79" s="2" t="n"/>
      <c r="M79" s="2" t="n"/>
    </row>
    <row r="80">
      <c r="C80" s="473" t="inlineStr">
        <is>
          <t>合計額/380</t>
        </is>
      </c>
      <c r="D80" s="358">
        <f>SUM(G80)</f>
        <v/>
      </c>
      <c r="F80" s="360" t="inlineStr">
        <is>
          <t>売り上げ額</t>
        </is>
      </c>
      <c r="G80" s="362">
        <f>SUM(SUM(K4:K46))+SUM(#REF!)</f>
        <v/>
      </c>
      <c r="H80" s="465" t="n"/>
      <c r="I80" s="465" t="n"/>
      <c r="J80" s="467" t="n"/>
      <c r="K80" s="2" t="n"/>
      <c r="L80" s="2" t="n"/>
      <c r="M80" s="2" t="n"/>
    </row>
    <row r="81" ht="14.25" customHeight="1" s="462" thickBot="1">
      <c r="C81" s="474" t="n"/>
      <c r="D81" s="475" t="n"/>
      <c r="F81" s="468" t="n"/>
      <c r="G81" s="476" t="n"/>
      <c r="H81" s="477" t="n"/>
      <c r="I81" s="477" t="n"/>
      <c r="J81" s="469" t="n"/>
      <c r="K81" s="2" t="n"/>
      <c r="L81" s="2" t="n"/>
      <c r="M81" s="2" t="n"/>
    </row>
    <row r="82">
      <c r="C82" s="478" t="inlineStr">
        <is>
          <t>前日までの売上合計額</t>
        </is>
      </c>
      <c r="D82" s="479">
        <f>SUM(B91)</f>
        <v/>
      </c>
      <c r="H82" s="2" t="n"/>
      <c r="I82" s="2" t="n"/>
      <c r="J82" s="2" t="n"/>
      <c r="K82" s="2" t="n"/>
      <c r="L82" s="2" t="n"/>
      <c r="M82" s="2" t="n"/>
    </row>
    <row r="83" ht="14.25" customHeight="1" s="462" thickBot="1">
      <c r="C83" s="480" t="n"/>
      <c r="D83" s="480" t="n"/>
      <c r="F83" s="420" t="inlineStr">
        <is>
          <t>金井（55)</t>
        </is>
      </c>
      <c r="G83" s="345" t="n"/>
      <c r="H83" s="466" t="n"/>
      <c r="I83" s="130" t="n"/>
      <c r="J83" s="2" t="n"/>
      <c r="K83" s="2" t="n"/>
      <c r="L83" s="2" t="n"/>
      <c r="M83" s="2" t="n"/>
    </row>
    <row r="84" ht="14.25" customHeight="1" s="462" thickTop="1">
      <c r="D84" s="346">
        <f>D80+D82</f>
        <v/>
      </c>
      <c r="F84" s="420" t="inlineStr">
        <is>
          <t>粟津(55)</t>
        </is>
      </c>
      <c r="G84" s="340" t="n"/>
      <c r="H84" s="466" t="n"/>
      <c r="I84" s="131" t="n"/>
      <c r="J84" s="2" t="n"/>
      <c r="K84" s="2" t="n"/>
      <c r="L84" s="2" t="n"/>
      <c r="M84" s="2" t="n"/>
    </row>
    <row r="85">
      <c r="F85" s="420" t="inlineStr">
        <is>
          <t>砂川(50)</t>
        </is>
      </c>
      <c r="G85" s="340" t="n"/>
      <c r="H85" s="466" t="n"/>
      <c r="I85" s="131" t="n"/>
      <c r="J85" s="2" t="n"/>
      <c r="K85" s="2" t="n"/>
      <c r="L85" s="2" t="n"/>
      <c r="M85" s="2" t="n"/>
    </row>
    <row r="86">
      <c r="C86" s="2" t="inlineStr">
        <is>
          <t>高代</t>
        </is>
      </c>
      <c r="F86" s="420" t="inlineStr">
        <is>
          <t>前川(50)</t>
        </is>
      </c>
      <c r="G86" s="340" t="n"/>
      <c r="H86" s="466" t="n"/>
      <c r="I86" s="131" t="n"/>
      <c r="J86" s="2" t="n"/>
      <c r="K86" s="2" t="n"/>
      <c r="L86" s="2" t="n"/>
      <c r="M86" s="2" t="n"/>
    </row>
    <row r="87">
      <c r="C87" s="2" t="inlineStr">
        <is>
          <t>返還代</t>
        </is>
      </c>
      <c r="F87" s="420" t="inlineStr">
        <is>
          <t>佐藤(50)</t>
        </is>
      </c>
      <c r="G87" s="345" t="n"/>
      <c r="H87" s="466" t="n"/>
      <c r="I87" s="130" t="n"/>
      <c r="J87" s="2" t="n"/>
      <c r="K87" s="2" t="n"/>
      <c r="L87" s="2" t="n"/>
      <c r="M87" s="2" t="n"/>
    </row>
    <row r="88">
      <c r="C88" s="2" t="inlineStr">
        <is>
          <t>回収率</t>
        </is>
      </c>
      <c r="D88" s="50">
        <f>D87/D86</f>
        <v/>
      </c>
      <c r="F88" s="420" t="inlineStr">
        <is>
          <t>末次(55)</t>
        </is>
      </c>
      <c r="G88" s="340" t="n"/>
      <c r="H88" s="466" t="n"/>
      <c r="I88" s="131" t="n"/>
      <c r="J88" s="2" t="n"/>
      <c r="K88" s="2" t="n"/>
      <c r="L88" s="2" t="n"/>
      <c r="M88" s="2" t="n"/>
    </row>
    <row r="89">
      <c r="C89" s="2" t="inlineStr">
        <is>
          <t>費</t>
        </is>
      </c>
      <c r="D89" s="2">
        <f>D86-D87</f>
        <v/>
      </c>
      <c r="F89" s="420" t="inlineStr">
        <is>
          <t>筒井(75)</t>
        </is>
      </c>
      <c r="G89" s="340" t="n"/>
      <c r="H89" s="466" t="n"/>
      <c r="I89" s="131" t="n"/>
      <c r="J89" s="2" t="n"/>
      <c r="K89" s="2" t="n"/>
      <c r="L89" s="2" t="n"/>
      <c r="M89" s="2" t="n"/>
    </row>
    <row r="90">
      <c r="F90" s="420" t="inlineStr">
        <is>
          <t>山岸(40)</t>
        </is>
      </c>
      <c r="G90" s="340" t="n"/>
      <c r="H90" s="466" t="n"/>
      <c r="I90" s="131" t="n"/>
      <c r="J90" s="2" t="n"/>
      <c r="K90" s="2" t="n"/>
      <c r="L90" s="2" t="n"/>
      <c r="M90" s="2" t="n"/>
    </row>
    <row r="91" ht="23.25" customHeight="1" s="462">
      <c r="B91" s="71" t="n"/>
      <c r="F91" s="420" t="inlineStr">
        <is>
          <t>多苗(30)</t>
        </is>
      </c>
      <c r="G91" s="340" t="n"/>
      <c r="H91" s="466" t="n"/>
      <c r="I91" s="131" t="n"/>
      <c r="J91" s="2" t="n"/>
      <c r="K91" s="2" t="n"/>
      <c r="L91" s="2" t="inlineStr">
        <is>
          <t> </t>
        </is>
      </c>
      <c r="M91" s="2" t="n"/>
    </row>
    <row r="92">
      <c r="H92" s="2" t="n"/>
      <c r="I92" s="2" t="n"/>
      <c r="J92" s="2" t="n"/>
      <c r="K92" s="2" t="n"/>
      <c r="L92" s="2" t="n"/>
      <c r="M92" s="2" t="n"/>
    </row>
    <row r="93">
      <c r="H93" s="2" t="n"/>
      <c r="I93" s="2" t="n"/>
      <c r="J93" s="2" t="n"/>
      <c r="K93" s="2" t="n"/>
      <c r="L93" s="2" t="n"/>
      <c r="M93" s="2" t="n"/>
    </row>
  </sheetData>
  <mergeCells count="59">
    <mergeCell ref="D71:J71"/>
    <mergeCell ref="E50:F50"/>
    <mergeCell ref="K54:K55"/>
    <mergeCell ref="Q7:R7"/>
    <mergeCell ref="F80:F81"/>
    <mergeCell ref="Q3:R3"/>
    <mergeCell ref="E55:F55"/>
    <mergeCell ref="Q43:R43"/>
    <mergeCell ref="G86:H86"/>
    <mergeCell ref="D74:J74"/>
    <mergeCell ref="E62:F62"/>
    <mergeCell ref="Q37:R37"/>
    <mergeCell ref="K51:K52"/>
    <mergeCell ref="D80:D81"/>
    <mergeCell ref="D73:J73"/>
    <mergeCell ref="E52:F52"/>
    <mergeCell ref="E51:F51"/>
    <mergeCell ref="C80:C81"/>
    <mergeCell ref="B2:C2"/>
    <mergeCell ref="H54:J55"/>
    <mergeCell ref="Q5:R5"/>
    <mergeCell ref="E63:F63"/>
    <mergeCell ref="D69:J69"/>
    <mergeCell ref="Q35:R35"/>
    <mergeCell ref="Q4:R4"/>
    <mergeCell ref="G80:J81"/>
    <mergeCell ref="Q31:R31"/>
    <mergeCell ref="G87:H87"/>
    <mergeCell ref="E65:F65"/>
    <mergeCell ref="G83:H83"/>
    <mergeCell ref="Q34:R34"/>
    <mergeCell ref="H49:J50"/>
    <mergeCell ref="E49:F49"/>
    <mergeCell ref="C82:C83"/>
    <mergeCell ref="Q46:R46"/>
    <mergeCell ref="D77:J77"/>
    <mergeCell ref="G89:H89"/>
    <mergeCell ref="H51:J52"/>
    <mergeCell ref="Q36:R36"/>
    <mergeCell ref="G88:H88"/>
    <mergeCell ref="D76:J76"/>
    <mergeCell ref="E57:F57"/>
    <mergeCell ref="G91:H91"/>
    <mergeCell ref="D70:J70"/>
    <mergeCell ref="E54:F54"/>
    <mergeCell ref="G85:H85"/>
    <mergeCell ref="Q11:R11"/>
    <mergeCell ref="D82:D83"/>
    <mergeCell ref="D75:J75"/>
    <mergeCell ref="K49:K50"/>
    <mergeCell ref="G90:H90"/>
    <mergeCell ref="Q32:R32"/>
    <mergeCell ref="E53:F53"/>
    <mergeCell ref="Q41:R41"/>
    <mergeCell ref="D72:J72"/>
    <mergeCell ref="G84:H84"/>
    <mergeCell ref="E66:F66"/>
    <mergeCell ref="E56:F56"/>
    <mergeCell ref="D84:D85"/>
  </mergeCells>
  <conditionalFormatting sqref="K51:K52">
    <cfRule type="cellIs" priority="5" operator="lessThan" dxfId="7">
      <formula>-90</formula>
    </cfRule>
    <cfRule type="cellIs" priority="6" operator="lessThan" dxfId="7">
      <formula>0</formula>
    </cfRule>
  </conditionalFormatting>
  <conditionalFormatting sqref="L3:L46">
    <cfRule type="cellIs" priority="7" operator="greaterThan" dxfId="0">
      <formula>30</formula>
    </cfRule>
  </conditionalFormatting>
  <conditionalFormatting sqref="L3">
    <cfRule type="cellIs" priority="3" operator="greaterThan" dxfId="6">
      <formula>30</formula>
    </cfRule>
    <cfRule type="cellIs" priority="4" operator="greaterThan" dxfId="5">
      <formula>30</formula>
    </cfRule>
  </conditionalFormatting>
  <conditionalFormatting sqref="D5:D17 D19:D54">
    <cfRule type="containsText" priority="8" operator="containsText" dxfId="3" text="～">
      <formula>NOT(ISERROR(SEARCH("～",D5)))</formula>
    </cfRule>
  </conditionalFormatting>
  <conditionalFormatting sqref="D18">
    <cfRule type="containsText" priority="1" operator="containsText" dxfId="3" text="～">
      <formula>NOT(ISERROR(SEARCH("～",D18)))</formula>
    </cfRule>
  </conditionalFormatting>
  <pageMargins left="0.7" right="0.7" top="0.75" bottom="0.75" header="0.3" footer="0.3"/>
  <pageSetup orientation="landscape" paperSize="9" horizontalDpi="1200" verticalDpi="1200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R67"/>
  <sheetViews>
    <sheetView zoomScaleNormal="100" workbookViewId="0">
      <selection activeCell="H7" sqref="H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449" min="10" max="10"/>
    <col width="20.25" customWidth="1" style="77" min="11" max="11"/>
    <col width="8.75" customWidth="1" style="449" min="12" max="13"/>
    <col width="8.75" customWidth="1" style="2" min="14" max="16384"/>
  </cols>
  <sheetData>
    <row r="1"/>
    <row r="2" ht="15" customHeight="1" s="462" thickBot="1">
      <c r="B2" s="493" t="n">
        <v>46194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4" t="n"/>
      <c r="D10" s="441" t="n"/>
      <c r="E10" s="63" t="n"/>
      <c r="F10" s="441" t="n"/>
      <c r="G10" s="59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64" t="n"/>
      <c r="E14" s="420" t="n"/>
      <c r="F14" s="57" t="n"/>
      <c r="G14" s="66" t="n"/>
      <c r="H14" s="74" t="n"/>
      <c r="I14" s="74" t="n"/>
      <c r="J14" s="420" t="n"/>
      <c r="K14" s="73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</row>
    <row r="15" ht="27" customHeight="1" s="462">
      <c r="A15" s="423">
        <f>IF(B15="","",COUNTA($B$5:B15))</f>
        <v/>
      </c>
      <c r="B15" s="57" t="n"/>
      <c r="C15" s="420" t="n"/>
      <c r="D15" s="63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</row>
    <row r="16" ht="27" customHeight="1" s="462">
      <c r="A16" s="423">
        <f>IF(B16="","",COUNTA($B$5:B16))</f>
        <v/>
      </c>
      <c r="B16" s="441" t="n"/>
      <c r="C16" s="440" t="n"/>
      <c r="D16" s="441" t="n"/>
      <c r="E16" s="440" t="n"/>
      <c r="F16" s="57" t="n"/>
      <c r="G16" s="65" t="n"/>
      <c r="H16" s="74" t="n"/>
      <c r="I16" s="74" t="n"/>
      <c r="J16" s="420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</row>
    <row r="17" ht="27" customHeight="1" s="462">
      <c r="A17" s="423">
        <f>IF(B17="","",COUNTA($B$5:B17))</f>
        <v/>
      </c>
      <c r="B17" s="441" t="n"/>
      <c r="C17" s="63" t="n"/>
      <c r="D17" s="440" t="n"/>
      <c r="E17" s="441" t="n"/>
      <c r="F17" s="57" t="n"/>
      <c r="G17" s="59" t="n"/>
      <c r="H17" s="60" t="n"/>
      <c r="I17" s="60" t="n"/>
      <c r="J17" s="57" t="n"/>
      <c r="K17" s="73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</row>
    <row r="18" ht="27" customHeight="1" s="462">
      <c r="A18" s="423">
        <f>IF(B18="","",COUNTA($B$5:B18))</f>
        <v/>
      </c>
      <c r="B18" s="441" t="n"/>
      <c r="C18" s="63" t="n"/>
      <c r="D18" s="440" t="n"/>
      <c r="E18" s="441" t="n"/>
      <c r="F18" s="57" t="n"/>
      <c r="G18" s="59" t="n"/>
      <c r="H18" s="60" t="n"/>
      <c r="I18" s="60" t="n"/>
      <c r="J18" s="57" t="n"/>
      <c r="K18" s="73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441" t="n"/>
      <c r="C19" s="63" t="n"/>
      <c r="D19" s="440" t="n"/>
      <c r="E19" s="441" t="n"/>
      <c r="F19" s="57" t="n"/>
      <c r="G19" s="59" t="n"/>
      <c r="H19" s="60" t="n"/>
      <c r="I19" s="60" t="n"/>
      <c r="J19" s="57" t="n"/>
      <c r="K19" s="73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27.75" customHeight="1" s="462">
      <c r="A20" s="423">
        <f>IF(B20="","",COUNTA($B$5:B20))</f>
        <v/>
      </c>
      <c r="B20" s="420" t="n"/>
      <c r="C20" s="420" t="n"/>
      <c r="D20" s="420" t="n"/>
      <c r="E20" s="420" t="n"/>
      <c r="F20" s="420" t="n"/>
      <c r="G20" s="69" t="n"/>
      <c r="H20" s="70" t="n"/>
      <c r="I20" s="70" t="n"/>
      <c r="J20" s="420" t="n"/>
      <c r="K20" s="2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</row>
    <row r="21" ht="27" customHeight="1" s="462">
      <c r="B21" s="18" t="n"/>
      <c r="C21" s="18" t="n"/>
      <c r="D21" s="18" t="n"/>
      <c r="E21" s="18" t="n"/>
      <c r="F21" s="18" t="n"/>
      <c r="G21" s="19" t="n"/>
      <c r="H21" s="33" t="n"/>
      <c r="I21" s="18" t="n"/>
      <c r="J21" s="18" t="n"/>
      <c r="K21" s="18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2" t="n"/>
      <c r="M21" s="2" t="n"/>
    </row>
    <row r="22" ht="27" customHeight="1" s="462" thickBot="1">
      <c r="J22" s="2" t="n"/>
      <c r="K22" s="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2" t="n"/>
      <c r="M22" s="2" t="n"/>
    </row>
    <row r="23" ht="27" customHeight="1" s="462">
      <c r="B23" s="22" t="n"/>
      <c r="C23" s="25" t="n"/>
      <c r="D23" s="25" t="inlineStr">
        <is>
          <t>現在待機場所</t>
        </is>
      </c>
      <c r="E23" s="25" t="inlineStr">
        <is>
          <t>待機予定場所</t>
        </is>
      </c>
      <c r="F23" s="466" t="n"/>
      <c r="H23" s="375" t="inlineStr">
        <is>
          <t>目標距離</t>
        </is>
      </c>
      <c r="I23" s="465" t="n"/>
      <c r="J23" s="467" t="n"/>
      <c r="K23" s="377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2" t="n"/>
      <c r="M23" s="2" t="n"/>
    </row>
    <row r="24" ht="27" customHeight="1" s="462" thickBot="1">
      <c r="B24" s="26" t="inlineStr">
        <is>
          <t>2(255)</t>
        </is>
      </c>
      <c r="C24" s="21" t="inlineStr">
        <is>
          <t>山岸</t>
        </is>
      </c>
      <c r="D24" s="34" t="n"/>
      <c r="E24" s="34" t="n"/>
      <c r="F24" s="466" t="n"/>
      <c r="H24" s="468" t="n"/>
      <c r="I24" s="477" t="n"/>
      <c r="J24" s="469" t="n"/>
      <c r="K24" s="470" t="n"/>
      <c r="L24" s="2" t="n"/>
      <c r="M24" s="2" t="n"/>
    </row>
    <row r="25">
      <c r="B25" s="26" t="inlineStr">
        <is>
          <t>8(254)</t>
        </is>
      </c>
      <c r="C25" s="21" t="inlineStr">
        <is>
          <t>砂川</t>
        </is>
      </c>
      <c r="D25" s="35" t="n"/>
      <c r="E25" s="35" t="n"/>
      <c r="F25" s="466" t="n"/>
      <c r="H25" s="368" t="inlineStr">
        <is>
          <t>残距離</t>
        </is>
      </c>
      <c r="J25" s="471" t="n"/>
      <c r="K25" s="354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2" t="n"/>
      <c r="M25" s="2" t="n"/>
    </row>
    <row r="26" ht="14.25" customHeight="1" s="462" thickBot="1">
      <c r="B26" s="26" t="inlineStr">
        <is>
          <t>9(256)</t>
        </is>
      </c>
      <c r="C26" s="21" t="inlineStr">
        <is>
          <t>前川</t>
        </is>
      </c>
      <c r="D26" s="35" t="n"/>
      <c r="E26" s="35" t="n"/>
      <c r="F26" s="466" t="n"/>
      <c r="H26" s="468" t="n"/>
      <c r="I26" s="477" t="n"/>
      <c r="J26" s="469" t="n"/>
      <c r="K26" s="472" t="n"/>
      <c r="L26" s="2" t="n"/>
      <c r="M26" s="2" t="n"/>
    </row>
    <row r="27" ht="14.25" customHeight="1" s="462" thickBot="1">
      <c r="B27" s="26" t="inlineStr">
        <is>
          <t>10(257)</t>
        </is>
      </c>
      <c r="C27" s="35" t="n"/>
      <c r="D27" s="35" t="n"/>
      <c r="E27" s="35" t="n"/>
      <c r="F27" s="466" t="n"/>
      <c r="J27" s="2" t="n"/>
      <c r="K27" s="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2" t="n"/>
      <c r="M27" s="2" t="n"/>
    </row>
    <row r="28">
      <c r="B28" s="26" t="inlineStr">
        <is>
          <t>11(258)</t>
        </is>
      </c>
      <c r="C28" s="21" t="inlineStr">
        <is>
          <t>郡司</t>
        </is>
      </c>
      <c r="D28" s="35" t="n"/>
      <c r="E28" s="35" t="n"/>
      <c r="F28" s="466" t="n"/>
      <c r="H28" s="350" t="inlineStr">
        <is>
          <t>依頼件数</t>
        </is>
      </c>
      <c r="I28" s="465" t="n"/>
      <c r="J28" s="467" t="n"/>
      <c r="K28" s="354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2" t="n"/>
      <c r="M28" s="2" t="n"/>
    </row>
    <row r="29" ht="14.25" customHeight="1" s="462" thickBot="1">
      <c r="B29" s="26" t="inlineStr">
        <is>
          <t>12(736)</t>
        </is>
      </c>
      <c r="C29" s="21" t="n"/>
      <c r="D29" s="35" t="n"/>
      <c r="E29" s="35" t="n"/>
      <c r="F29" s="466" t="n"/>
      <c r="H29" s="468" t="n"/>
      <c r="I29" s="477" t="n"/>
      <c r="J29" s="469" t="n"/>
      <c r="K29" s="472" t="n"/>
      <c r="L29" s="2" t="n"/>
      <c r="M29" s="2" t="n"/>
    </row>
    <row r="30" ht="17.25" customHeight="1" s="462">
      <c r="B30" s="26" t="inlineStr">
        <is>
          <t>13(737)</t>
        </is>
      </c>
      <c r="C30" s="21" t="n"/>
      <c r="D30" s="35" t="n"/>
      <c r="E30" s="35" t="n"/>
      <c r="F30" s="466" t="n"/>
      <c r="H30" s="38" t="n"/>
      <c r="I30" s="38" t="n"/>
      <c r="J30" s="38" t="n"/>
      <c r="K30" s="39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2" t="n"/>
      <c r="M30" s="2" t="n"/>
    </row>
    <row r="31" ht="17.25" customHeight="1" s="462">
      <c r="B31" s="40" t="inlineStr">
        <is>
          <t>14(738)</t>
        </is>
      </c>
      <c r="C31" s="21" t="inlineStr">
        <is>
          <t>辻井</t>
        </is>
      </c>
      <c r="D31" s="35" t="n"/>
      <c r="E31" s="35" t="n"/>
      <c r="F31" s="466" t="n"/>
      <c r="H31" s="38" t="n"/>
      <c r="I31" s="38" t="n"/>
      <c r="J31" s="38" t="n"/>
      <c r="K31" s="39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2" t="n"/>
      <c r="M31" s="2" t="n"/>
    </row>
    <row r="32" ht="17.25" customHeight="1" s="462">
      <c r="B32" s="41" t="n"/>
      <c r="C32" s="42" t="n"/>
      <c r="D32" s="43" t="n"/>
      <c r="E32" s="44" t="n"/>
      <c r="F32" s="349" t="n"/>
      <c r="H32" s="38" t="n"/>
      <c r="I32" s="38" t="n"/>
      <c r="J32" s="38" t="n"/>
      <c r="K32" s="39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2" t="n"/>
      <c r="M32" s="2" t="n"/>
    </row>
    <row r="33" ht="17.25" customHeight="1" s="462">
      <c r="B33" s="45" t="n">
        <v>7290</v>
      </c>
      <c r="C33" s="21" t="inlineStr">
        <is>
          <t>佐藤</t>
        </is>
      </c>
      <c r="D33" s="35" t="n"/>
      <c r="E33" s="348" t="n"/>
      <c r="F33" s="349" t="n"/>
      <c r="H33" s="38" t="n"/>
      <c r="I33" s="38" t="n"/>
      <c r="J33" s="38" t="n"/>
      <c r="K33" s="39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2" t="n"/>
      <c r="M33" s="2" t="n"/>
    </row>
    <row r="34" ht="16.5" customHeight="1" s="462">
      <c r="B34" s="45" t="n">
        <v>7291</v>
      </c>
      <c r="C34" s="21" t="inlineStr">
        <is>
          <t>末次</t>
        </is>
      </c>
      <c r="D34" s="35" t="n"/>
      <c r="E34" s="348" t="n"/>
      <c r="F34" s="349" t="n"/>
      <c r="H34" s="38" t="n"/>
      <c r="I34" s="38" t="n"/>
      <c r="J34" s="38" t="n"/>
      <c r="K34" s="39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2" t="n"/>
      <c r="M34" s="2" t="n"/>
    </row>
    <row r="35" ht="16.5" customHeight="1" s="462">
      <c r="B35" s="41" t="n"/>
      <c r="C35" s="42" t="n"/>
      <c r="D35" s="44" t="n"/>
      <c r="E35" s="44" t="n"/>
      <c r="F35" s="349" t="n"/>
      <c r="H35" s="38" t="n"/>
      <c r="I35" s="38" t="n"/>
      <c r="J35" s="38" t="n"/>
      <c r="K35" s="39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2" t="n"/>
      <c r="M35" s="2" t="n"/>
    </row>
    <row r="36" ht="8.25" customHeight="1" s="462">
      <c r="B36" s="45" t="n">
        <v>333</v>
      </c>
      <c r="C36" s="21" t="inlineStr">
        <is>
          <t>金井/奥田</t>
        </is>
      </c>
      <c r="D36" s="35" t="n"/>
      <c r="E36" s="484" t="n"/>
      <c r="F36" s="469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2" t="n"/>
      <c r="M36" s="2" t="n"/>
    </row>
    <row r="37" ht="17.25" customHeight="1" s="462">
      <c r="B37" s="46" t="n">
        <v>666</v>
      </c>
      <c r="C37" s="21" t="inlineStr">
        <is>
          <t>徳留</t>
        </is>
      </c>
      <c r="D37" s="35" t="n"/>
      <c r="E37" s="35" t="n"/>
      <c r="F37" s="466" t="n"/>
      <c r="H37" s="38" t="n"/>
      <c r="I37" s="38" t="n"/>
      <c r="J37" s="38" t="n"/>
      <c r="K37" s="39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2" t="n"/>
      <c r="M37" s="2" t="n"/>
    </row>
    <row r="38" ht="17.25" customHeight="1" s="462">
      <c r="B38" s="46" t="n">
        <v>777</v>
      </c>
      <c r="C38" s="21" t="n"/>
      <c r="D38" s="35" t="n"/>
      <c r="E38" s="348" t="n"/>
      <c r="F38" s="349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2" t="n"/>
      <c r="M38" s="2" t="n"/>
    </row>
    <row r="39" ht="9" customHeight="1" s="462">
      <c r="B39" s="47" t="n">
        <v>330</v>
      </c>
      <c r="C39" s="21" t="n"/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2" t="n"/>
      <c r="M39" s="2" t="n"/>
    </row>
    <row r="40" ht="16.5" customHeight="1" s="462">
      <c r="B40" s="47" t="n">
        <v>990</v>
      </c>
      <c r="C40" s="21" t="inlineStr">
        <is>
          <t>山原</t>
        </is>
      </c>
      <c r="D40" s="35" t="n"/>
      <c r="E40" s="35" t="n"/>
      <c r="F40" s="466" t="n"/>
      <c r="H40" s="38" t="n"/>
      <c r="I40" s="38" t="n"/>
      <c r="J40" s="38" t="n"/>
      <c r="K40" s="39" t="n"/>
      <c r="L40" s="2" t="n"/>
      <c r="M40" s="2" t="n"/>
    </row>
    <row r="41" ht="16.5" customHeight="1" s="462">
      <c r="J41" s="2" t="n"/>
      <c r="K41" s="2" t="n"/>
      <c r="L41" s="2" t="n"/>
      <c r="M41" s="2" t="n"/>
    </row>
    <row r="42" ht="16.5" customHeight="1" s="462">
      <c r="C42" s="449" t="inlineStr">
        <is>
          <t>出発→到着</t>
        </is>
      </c>
      <c r="D42" s="420" t="inlineStr">
        <is>
          <t>備考</t>
        </is>
      </c>
      <c r="J42" s="2" t="n"/>
      <c r="K42" s="2" t="n"/>
      <c r="L42" s="2" t="n"/>
      <c r="M42" s="2" t="n"/>
    </row>
    <row r="43" ht="16.5" customHeight="1" s="462">
      <c r="B43" s="27" t="inlineStr">
        <is>
          <t>①</t>
        </is>
      </c>
      <c r="C43" s="449" t="inlineStr">
        <is>
          <t>東→西</t>
        </is>
      </c>
      <c r="D43" s="485" t="inlineStr">
        <is>
          <t>①Aチーム優先</t>
        </is>
      </c>
      <c r="E43" s="486" t="n"/>
      <c r="F43" s="486" t="n"/>
      <c r="G43" s="486" t="n"/>
      <c r="H43" s="486" t="n"/>
      <c r="I43" s="486" t="n"/>
      <c r="J43" s="466" t="n"/>
      <c r="K43" s="2" t="n"/>
      <c r="L43" s="2" t="n"/>
      <c r="M43" s="2" t="n"/>
    </row>
    <row r="44" ht="16.5" customHeight="1" s="462">
      <c r="B44" s="27" t="inlineStr">
        <is>
          <t>②</t>
        </is>
      </c>
      <c r="C44" s="449" t="inlineStr">
        <is>
          <t>東→東</t>
        </is>
      </c>
      <c r="D44" s="485" t="inlineStr">
        <is>
          <t>②急ぎ案件の場合、道路状況も伝えてあげる。</t>
        </is>
      </c>
      <c r="E44" s="486" t="n"/>
      <c r="F44" s="486" t="n"/>
      <c r="G44" s="486" t="n"/>
      <c r="H44" s="486" t="n"/>
      <c r="I44" s="486" t="n"/>
      <c r="J44" s="466" t="n"/>
      <c r="K44" s="2" t="n"/>
      <c r="L44" s="2" t="n"/>
      <c r="M44" s="2" t="n"/>
    </row>
    <row r="45">
      <c r="B45" s="27" t="inlineStr">
        <is>
          <t>③</t>
        </is>
      </c>
      <c r="C45" s="449" t="inlineStr">
        <is>
          <t>西→東</t>
        </is>
      </c>
      <c r="D45" s="485" t="inlineStr">
        <is>
          <t>③各ドライバーの位置からの帰社のタイミング・夕方の配置</t>
        </is>
      </c>
      <c r="E45" s="486" t="n"/>
      <c r="F45" s="486" t="n"/>
      <c r="G45" s="486" t="n"/>
      <c r="H45" s="486" t="n"/>
      <c r="I45" s="486" t="n"/>
      <c r="J45" s="466" t="n"/>
      <c r="K45" s="2" t="n"/>
      <c r="L45" s="2" t="n"/>
      <c r="M45" s="2" t="n"/>
    </row>
    <row r="46">
      <c r="B46" s="27" t="inlineStr">
        <is>
          <t>④</t>
        </is>
      </c>
      <c r="C46" s="449" t="inlineStr">
        <is>
          <t>西→西</t>
        </is>
      </c>
      <c r="D46" s="485" t="inlineStr">
        <is>
          <t>④依頼を受ける際の、希望時間と現状の位置。行けるか行けないかの判断をしっかりと。</t>
        </is>
      </c>
      <c r="E46" s="486" t="n"/>
      <c r="F46" s="486" t="n"/>
      <c r="G46" s="486" t="n"/>
      <c r="H46" s="486" t="n"/>
      <c r="I46" s="486" t="n"/>
      <c r="J46" s="466" t="n"/>
      <c r="K46" s="2" t="n"/>
      <c r="L46" s="2" t="n"/>
      <c r="M46" s="2" t="n"/>
    </row>
    <row r="47">
      <c r="D47" s="485" t="inlineStr">
        <is>
          <t>⑤軽に乗るか乗らないかの判断に気を付ける。</t>
        </is>
      </c>
      <c r="E47" s="486" t="n"/>
      <c r="F47" s="486" t="n"/>
      <c r="G47" s="486" t="n"/>
      <c r="H47" s="486" t="n"/>
      <c r="I47" s="486" t="n"/>
      <c r="J47" s="466" t="n"/>
      <c r="K47" s="2" t="n"/>
      <c r="L47" s="2" t="n"/>
      <c r="M47" s="2" t="n"/>
    </row>
    <row r="48">
      <c r="B48" s="22" t="n"/>
      <c r="C48" s="420" t="inlineStr">
        <is>
          <t>現状配置(予測)</t>
        </is>
      </c>
      <c r="D48" s="485" t="inlineStr">
        <is>
          <t>⑥18/1日、1.8/1人、3件/1人</t>
        </is>
      </c>
      <c r="E48" s="486" t="n"/>
      <c r="F48" s="486" t="n"/>
      <c r="G48" s="486" t="n"/>
      <c r="H48" s="486" t="n"/>
      <c r="I48" s="486" t="n"/>
      <c r="J48" s="466" t="n"/>
      <c r="K48" s="2" t="n"/>
      <c r="L48" s="2" t="n"/>
      <c r="M48" s="2" t="n"/>
    </row>
    <row r="49">
      <c r="B49" s="420" t="inlineStr">
        <is>
          <t>西(神戸西・弥栄台)</t>
        </is>
      </c>
      <c r="C49" s="420" t="n"/>
      <c r="D49" s="485" t="inlineStr">
        <is>
          <t>⑦依頼書の見落とし(日付、入替、入出庫、場所）</t>
        </is>
      </c>
      <c r="E49" s="486" t="n"/>
      <c r="F49" s="486" t="n"/>
      <c r="G49" s="486" t="n"/>
      <c r="H49" s="486" t="n"/>
      <c r="I49" s="486" t="n"/>
      <c r="J49" s="466" t="n"/>
      <c r="K49" s="2" t="n"/>
      <c r="L49" s="2" t="n"/>
      <c r="M49" s="2" t="n"/>
    </row>
    <row r="50">
      <c r="B50" s="420" t="inlineStr">
        <is>
          <t>真ん中(摩耶・中央)</t>
        </is>
      </c>
      <c r="C50" s="420" t="n"/>
      <c r="D50" s="485" t="inlineStr">
        <is>
          <t>⑧3ｔ車と2ｔ車への振り方(西と東に振り分ける)</t>
        </is>
      </c>
      <c r="E50" s="486" t="n"/>
      <c r="F50" s="486" t="n"/>
      <c r="G50" s="486" t="n"/>
      <c r="H50" s="486" t="n"/>
      <c r="I50" s="486" t="n"/>
      <c r="J50" s="466" t="n"/>
      <c r="K50" s="2" t="n"/>
      <c r="L50" s="2" t="n"/>
      <c r="M50" s="2" t="n"/>
    </row>
    <row r="51">
      <c r="B51" s="420" t="inlineStr">
        <is>
          <t>東(尼崎・伊丹・西宮)</t>
        </is>
      </c>
      <c r="C51" s="420" t="n"/>
      <c r="D51" s="485" t="inlineStr">
        <is>
          <t>⑨</t>
        </is>
      </c>
      <c r="E51" s="486" t="n"/>
      <c r="F51" s="486" t="n"/>
      <c r="G51" s="486" t="n"/>
      <c r="H51" s="486" t="n"/>
      <c r="I51" s="486" t="n"/>
      <c r="J51" s="466" t="n"/>
      <c r="K51" s="2" t="n"/>
      <c r="L51" s="2" t="n"/>
      <c r="M51" s="2" t="n"/>
    </row>
    <row r="52">
      <c r="B52" s="48" t="inlineStr">
        <is>
          <t>極東(港区・淀屋橋)</t>
        </is>
      </c>
      <c r="C52" s="420" t="n"/>
      <c r="D52" s="49" t="n"/>
      <c r="E52" s="49" t="n"/>
      <c r="F52" s="49" t="n"/>
      <c r="G52" s="49" t="n"/>
      <c r="H52" s="49" t="n"/>
      <c r="I52" s="49" t="n"/>
      <c r="J52" s="49" t="n"/>
      <c r="K52" s="2" t="n"/>
      <c r="L52" s="2" t="n"/>
      <c r="M52" s="2" t="n"/>
    </row>
    <row r="53" ht="14.25" customHeight="1" s="462" thickBot="1">
      <c r="J53" s="2" t="n"/>
      <c r="K53" s="2" t="n"/>
      <c r="L53" s="2" t="n"/>
      <c r="M53" s="2" t="n"/>
    </row>
    <row r="54">
      <c r="C54" s="473" t="inlineStr">
        <is>
          <t>合計額/380</t>
        </is>
      </c>
      <c r="D54" s="358">
        <f>SUM(G54)</f>
        <v/>
      </c>
      <c r="F54" s="360" t="inlineStr">
        <is>
          <t>売り上げ額</t>
        </is>
      </c>
      <c r="G54" s="362">
        <f>SUM(SUM(K4:K20))+SUM(#REF!)</f>
        <v/>
      </c>
      <c r="H54" s="465" t="n"/>
      <c r="I54" s="465" t="n"/>
      <c r="J54" s="467" t="n"/>
      <c r="K54" s="2" t="n"/>
      <c r="L54" s="2" t="n"/>
      <c r="M54" s="2" t="n"/>
    </row>
    <row r="55" ht="14.25" customHeight="1" s="462" thickBot="1">
      <c r="C55" s="474" t="n"/>
      <c r="D55" s="475" t="n"/>
      <c r="F55" s="468" t="n"/>
      <c r="G55" s="476" t="n"/>
      <c r="H55" s="477" t="n"/>
      <c r="I55" s="477" t="n"/>
      <c r="J55" s="469" t="n"/>
      <c r="K55" s="2" t="n"/>
      <c r="L55" s="2" t="n"/>
      <c r="M55" s="2" t="n"/>
    </row>
    <row r="56">
      <c r="C56" s="478" t="inlineStr">
        <is>
          <t>前日までの売上合計額</t>
        </is>
      </c>
      <c r="D56" s="479">
        <f>SUM(B65)</f>
        <v/>
      </c>
      <c r="J56" s="2" t="n"/>
      <c r="K56" s="2" t="n"/>
      <c r="L56" s="2" t="n"/>
      <c r="M56" s="2" t="n"/>
    </row>
    <row r="57" ht="14.25" customHeight="1" s="462" thickBot="1">
      <c r="C57" s="480" t="n"/>
      <c r="D57" s="480" t="n"/>
      <c r="F57" s="420" t="inlineStr">
        <is>
          <t>金井（55)</t>
        </is>
      </c>
      <c r="G57" s="345" t="n"/>
      <c r="H57" s="466" t="n"/>
      <c r="I57" s="130" t="n"/>
      <c r="J57" s="2" t="n"/>
      <c r="K57" s="2" t="n"/>
      <c r="L57" s="2" t="n"/>
      <c r="M57" s="2" t="n"/>
    </row>
    <row r="58" ht="14.25" customHeight="1" s="462" thickTop="1">
      <c r="D58" s="346">
        <f>D54+D56</f>
        <v/>
      </c>
      <c r="F58" s="420" t="inlineStr">
        <is>
          <t>粟津(55)</t>
        </is>
      </c>
      <c r="G58" s="340" t="n"/>
      <c r="H58" s="466" t="n"/>
      <c r="I58" s="131" t="n"/>
      <c r="J58" s="2" t="n"/>
      <c r="K58" s="2" t="n"/>
      <c r="L58" s="2" t="n"/>
      <c r="M58" s="2" t="n"/>
    </row>
    <row r="59">
      <c r="F59" s="420" t="inlineStr">
        <is>
          <t>砂川(50)</t>
        </is>
      </c>
      <c r="G59" s="340" t="n"/>
      <c r="H59" s="466" t="n"/>
      <c r="I59" s="131" t="n"/>
      <c r="J59" s="2" t="n"/>
      <c r="K59" s="2" t="n"/>
      <c r="L59" s="2" t="n"/>
      <c r="M59" s="2" t="n"/>
    </row>
    <row r="60">
      <c r="C60" s="2" t="inlineStr">
        <is>
          <t>高代</t>
        </is>
      </c>
      <c r="F60" s="420" t="inlineStr">
        <is>
          <t>前川(50)</t>
        </is>
      </c>
      <c r="G60" s="340" t="n"/>
      <c r="H60" s="466" t="n"/>
      <c r="I60" s="131" t="n"/>
      <c r="J60" s="2" t="n"/>
      <c r="K60" s="2" t="n"/>
      <c r="L60" s="2" t="n"/>
      <c r="M60" s="2" t="n"/>
    </row>
    <row r="61">
      <c r="C61" s="2" t="inlineStr">
        <is>
          <t>返還代</t>
        </is>
      </c>
      <c r="F61" s="420" t="inlineStr">
        <is>
          <t>佐藤(50)</t>
        </is>
      </c>
      <c r="G61" s="345" t="n"/>
      <c r="H61" s="466" t="n"/>
      <c r="I61" s="130" t="n"/>
      <c r="J61" s="2" t="n"/>
      <c r="K61" s="2" t="n"/>
      <c r="L61" s="2" t="n"/>
      <c r="M61" s="2" t="n"/>
    </row>
    <row r="62">
      <c r="C62" s="2" t="inlineStr">
        <is>
          <t>回収率</t>
        </is>
      </c>
      <c r="D62" s="50">
        <f>D61/D60</f>
        <v/>
      </c>
      <c r="F62" s="420" t="inlineStr">
        <is>
          <t>末次(55)</t>
        </is>
      </c>
      <c r="G62" s="340" t="n"/>
      <c r="H62" s="466" t="n"/>
      <c r="I62" s="131" t="n"/>
      <c r="J62" s="2" t="n"/>
      <c r="K62" s="2" t="n"/>
      <c r="L62" s="2" t="n"/>
      <c r="M62" s="2" t="n"/>
    </row>
    <row r="63">
      <c r="C63" s="2" t="inlineStr">
        <is>
          <t>費</t>
        </is>
      </c>
      <c r="D63" s="2">
        <f>D60-D61</f>
        <v/>
      </c>
      <c r="F63" s="420" t="inlineStr">
        <is>
          <t>筒井(75)</t>
        </is>
      </c>
      <c r="G63" s="340" t="n"/>
      <c r="H63" s="466" t="n"/>
      <c r="I63" s="131" t="n"/>
      <c r="J63" s="2" t="n"/>
      <c r="K63" s="2" t="n"/>
      <c r="L63" s="2" t="n"/>
      <c r="M63" s="2" t="n"/>
    </row>
    <row r="64">
      <c r="F64" s="420" t="inlineStr">
        <is>
          <t>山岸(40)</t>
        </is>
      </c>
      <c r="G64" s="340" t="n"/>
      <c r="H64" s="466" t="n"/>
      <c r="I64" s="131" t="n"/>
      <c r="J64" s="2" t="n"/>
      <c r="K64" s="2" t="n"/>
      <c r="L64" s="2" t="n"/>
      <c r="M64" s="2" t="n"/>
    </row>
    <row r="65" ht="17.25" customHeight="1" s="462">
      <c r="B65" s="71" t="n"/>
      <c r="F65" s="420" t="inlineStr">
        <is>
          <t>多苗(30)</t>
        </is>
      </c>
      <c r="G65" s="340" t="n"/>
      <c r="H65" s="466" t="n"/>
      <c r="I65" s="131" t="n"/>
      <c r="J65" s="2" t="n"/>
      <c r="K65" s="2" t="n"/>
      <c r="L65" s="2" t="inlineStr">
        <is>
          <t> </t>
        </is>
      </c>
      <c r="M65" s="2" t="n"/>
    </row>
    <row r="66">
      <c r="J66" s="2" t="n"/>
      <c r="K66" s="2" t="n"/>
      <c r="L66" s="2" t="n"/>
      <c r="M66" s="2" t="n"/>
    </row>
    <row r="67">
      <c r="J67" s="2" t="n"/>
      <c r="K67" s="2" t="n"/>
      <c r="L67" s="2" t="n"/>
      <c r="M67" s="2" t="n"/>
    </row>
    <row r="69" ht="23.25" customHeight="1" s="462"/>
  </sheetData>
  <mergeCells count="53">
    <mergeCell ref="Q16:R16"/>
    <mergeCell ref="G59:H59"/>
    <mergeCell ref="Q3:R3"/>
    <mergeCell ref="E24:F24"/>
    <mergeCell ref="E23:F23"/>
    <mergeCell ref="G61:H61"/>
    <mergeCell ref="C54:C55"/>
    <mergeCell ref="E39:F39"/>
    <mergeCell ref="D51:J51"/>
    <mergeCell ref="H23:J24"/>
    <mergeCell ref="B2:C2"/>
    <mergeCell ref="H25:J26"/>
    <mergeCell ref="D50:J50"/>
    <mergeCell ref="E29:F29"/>
    <mergeCell ref="D44:J44"/>
    <mergeCell ref="Q5:R5"/>
    <mergeCell ref="Q20:R20"/>
    <mergeCell ref="C56:C57"/>
    <mergeCell ref="D56:D57"/>
    <mergeCell ref="Q14:R14"/>
    <mergeCell ref="E28:F28"/>
    <mergeCell ref="G57:H57"/>
    <mergeCell ref="G62:H62"/>
    <mergeCell ref="E40:F40"/>
    <mergeCell ref="E31:F31"/>
    <mergeCell ref="Q4:R4"/>
    <mergeCell ref="D46:J46"/>
    <mergeCell ref="E30:F30"/>
    <mergeCell ref="K23:K24"/>
    <mergeCell ref="Q15:R15"/>
    <mergeCell ref="D45:J45"/>
    <mergeCell ref="E27:F27"/>
    <mergeCell ref="G58:H58"/>
    <mergeCell ref="G65:H65"/>
    <mergeCell ref="E36:F36"/>
    <mergeCell ref="G54:J55"/>
    <mergeCell ref="E26:F26"/>
    <mergeCell ref="D49:J49"/>
    <mergeCell ref="D58:D59"/>
    <mergeCell ref="G64:H64"/>
    <mergeCell ref="D54:D55"/>
    <mergeCell ref="K28:K29"/>
    <mergeCell ref="Q17:R17"/>
    <mergeCell ref="D48:J48"/>
    <mergeCell ref="E25:F25"/>
    <mergeCell ref="K25:K26"/>
    <mergeCell ref="G63:H63"/>
    <mergeCell ref="D47:J47"/>
    <mergeCell ref="E37:F37"/>
    <mergeCell ref="G60:H60"/>
    <mergeCell ref="F54:F55"/>
    <mergeCell ref="H28:J29"/>
    <mergeCell ref="D43:J43"/>
  </mergeCells>
  <conditionalFormatting sqref="L3:L20">
    <cfRule type="cellIs" priority="3" operator="greaterThan" dxfId="0">
      <formula>30</formula>
    </cfRule>
  </conditionalFormatting>
  <conditionalFormatting sqref="K25:K26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8">
    <cfRule type="containsText" priority="6" operator="containsText" dxfId="3" text="～">
      <formula>NOT(ISERROR(SEARCH("～",D5)))</formula>
    </cfRule>
  </conditionalFormatting>
  <pageMargins left="0.7086614173228347" right="0.7086614173228347" top="0.7480314960629921" bottom="0.3543307086614174" header="0.3149606299212598" footer="0.3149606299212598"/>
  <pageSetup orientation="landscape" paperSize="9" horizontalDpi="1200" verticalDpi="1200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R89"/>
  <sheetViews>
    <sheetView topLeftCell="A4" zoomScaleNormal="100" workbookViewId="0">
      <selection activeCell="H19" sqref="H19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449" min="10" max="10"/>
    <col width="20.25" customWidth="1" style="77" min="11" max="11"/>
    <col width="8.75" customWidth="1" style="449" min="12" max="13"/>
    <col width="8.75" customWidth="1" style="2" min="14" max="16384"/>
  </cols>
  <sheetData>
    <row r="1"/>
    <row r="2" ht="15" customHeight="1" s="462" thickBot="1">
      <c r="B2" s="493" t="n">
        <v>46194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 t="n"/>
      <c r="B6" s="57" t="n"/>
      <c r="C6" s="63" t="n"/>
      <c r="D6" s="441" t="n"/>
      <c r="E6" s="259" t="n"/>
      <c r="F6" s="57" t="n"/>
      <c r="G6" s="65" t="n"/>
      <c r="H6" s="438" t="n"/>
      <c r="I6" s="295">
        <f>IFERROR(_xlfn.XLOOKUP(H6,案件・ドライバー一覧!$L$3:$L$17,案件・ドライバー一覧!$M$3:$M$17,""),"")</f>
        <v/>
      </c>
      <c r="J6" s="57" t="n"/>
      <c r="K6" s="72" t="n"/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441" t="n"/>
      <c r="D7" s="63" t="n"/>
      <c r="E7" s="441" t="n"/>
      <c r="F7" s="57" t="n"/>
      <c r="G7" s="68" t="n"/>
      <c r="H7" s="438" t="n"/>
      <c r="I7" s="295">
        <f>IFERROR(_xlfn.XLOOKUP(H7,案件・ドライバー一覧!$L$3:$L$17,案件・ドライバー一覧!$M$3:$M$17,""),"")</f>
        <v/>
      </c>
      <c r="J7" s="57" t="n"/>
      <c r="K7" s="73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</row>
    <row r="8" ht="36" customHeight="1" s="462">
      <c r="A8" s="423">
        <f>IF(B8="","",COUNTA($B$5:B8))</f>
        <v/>
      </c>
      <c r="B8" s="57" t="n"/>
      <c r="C8" s="63" t="n"/>
      <c r="D8" s="62" t="n"/>
      <c r="E8" s="64" t="n"/>
      <c r="F8" s="57" t="n"/>
      <c r="G8" s="65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4" t="n"/>
      <c r="D9" s="441" t="n"/>
      <c r="E9" s="62" t="n"/>
      <c r="F9" s="57" t="n"/>
      <c r="G9" s="59" t="n"/>
      <c r="H9" s="438" t="n"/>
      <c r="I9" s="295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438" t="n"/>
      <c r="I10" s="296">
        <f>IFERROR(_xlfn.XLOOKUP(H10,案件・ドライバー一覧!$L$3:$L$17,案件・ドライバー一覧!$M$3:$M$17,""),"")</f>
        <v/>
      </c>
      <c r="J10" s="420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16.5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427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 t="n"/>
      <c r="B18" s="57" t="n"/>
      <c r="C18" s="63" t="n"/>
      <c r="D18" s="441" t="n"/>
      <c r="E18" s="441" t="n"/>
      <c r="F18" s="57" t="n"/>
      <c r="G18" s="65" t="n"/>
      <c r="H18" s="438" t="n"/>
      <c r="I18" s="427" t="n"/>
      <c r="J18" s="57" t="n"/>
      <c r="K18" s="72" t="n"/>
      <c r="L18" s="61" t="n"/>
      <c r="N18" s="449" t="n"/>
      <c r="O18" s="449" t="n"/>
      <c r="P18" s="449" t="n"/>
      <c r="Q18" s="449" t="n"/>
      <c r="R18" s="449" t="n"/>
    </row>
    <row r="19" ht="40.5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438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36" customHeight="1" s="462">
      <c r="A20" s="423">
        <f>IF(B20="","",COUNTA($B$5:B20))</f>
        <v/>
      </c>
      <c r="B20" s="57" t="n"/>
      <c r="C20" s="63" t="n"/>
      <c r="D20" s="64" t="n"/>
      <c r="E20" s="441" t="n"/>
      <c r="F20" s="57" t="n"/>
      <c r="G20" s="65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441" t="n"/>
      <c r="D21" s="441" t="n"/>
      <c r="E21" s="441" t="n"/>
      <c r="F21" s="57" t="n"/>
      <c r="G21" s="65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  <c r="R21" s="449" t="n"/>
    </row>
    <row r="22" ht="28.5" customHeight="1" s="462">
      <c r="A22" s="423">
        <f>IF(B22="","",COUNTA($B$5:B22))</f>
        <v/>
      </c>
      <c r="B22" s="57" t="n"/>
      <c r="C22" s="64" t="n"/>
      <c r="D22" s="441" t="n"/>
      <c r="E22" s="63" t="n"/>
      <c r="F22" s="441" t="n"/>
      <c r="G22" s="59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  <c r="R25" s="449" t="n"/>
    </row>
    <row r="26" ht="27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15.75" customHeight="1" s="462">
      <c r="A28" s="423">
        <f>IF(B28="","",COUNTA($B$5:B28))</f>
        <v/>
      </c>
      <c r="B28" s="57" t="n"/>
      <c r="C28" s="63" t="n"/>
      <c r="D28" s="441" t="n"/>
      <c r="E28" s="441" t="n"/>
      <c r="F28" s="57" t="n"/>
      <c r="G28" s="65" t="n"/>
      <c r="H28" s="438" t="n"/>
      <c r="I28" s="427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  <c r="R28" s="449" t="n"/>
    </row>
    <row r="29" ht="27" customHeight="1" s="462">
      <c r="A29" s="423">
        <f>IF(B29="","",COUNTA($B$5:B29))</f>
        <v/>
      </c>
      <c r="B29" s="57" t="n"/>
      <c r="C29" s="63" t="n"/>
      <c r="D29" s="441" t="n"/>
      <c r="E29" s="441" t="n"/>
      <c r="F29" s="57" t="n"/>
      <c r="G29" s="65" t="n"/>
      <c r="H29" s="438" t="n"/>
      <c r="I29" s="427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N29" s="449" t="n"/>
      <c r="O29" s="449" t="n"/>
      <c r="P29" s="449" t="n"/>
      <c r="Q29" s="449" t="n"/>
      <c r="R29" s="449" t="n"/>
    </row>
    <row r="30" ht="27" customHeight="1" s="462">
      <c r="A30" s="423" t="n"/>
      <c r="B30" s="57" t="n"/>
      <c r="C30" s="63" t="n"/>
      <c r="D30" s="441" t="n"/>
      <c r="E30" s="441" t="n"/>
      <c r="F30" s="57" t="n"/>
      <c r="G30" s="65" t="n"/>
      <c r="H30" s="438" t="n"/>
      <c r="I30" s="427" t="n"/>
      <c r="J30" s="57" t="n"/>
      <c r="K30" s="72" t="n"/>
      <c r="L30" s="61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IF(B31="","",COUNTA($B$5:B31))</f>
        <v/>
      </c>
      <c r="B31" s="57" t="n"/>
      <c r="C31" s="62" t="n"/>
      <c r="D31" s="63" t="n"/>
      <c r="E31" s="441" t="n"/>
      <c r="F31" s="57" t="n"/>
      <c r="G31" s="66" t="n"/>
      <c r="H31" s="438" t="n"/>
      <c r="I31" s="427" t="n"/>
      <c r="J31" s="57" t="n"/>
      <c r="K31" s="73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N31" s="449" t="n"/>
      <c r="O31" s="449" t="n"/>
      <c r="P31" s="449" t="n"/>
      <c r="Q31" s="449" t="n"/>
    </row>
    <row r="32" ht="27" customHeight="1" s="462">
      <c r="A32" s="423">
        <f>IF(B32="","",COUNTA($B$5:B32))</f>
        <v/>
      </c>
      <c r="B32" s="57" t="n"/>
      <c r="C32" s="63" t="n"/>
      <c r="D32" s="64" t="n"/>
      <c r="E32" s="420" t="n"/>
      <c r="F32" s="57" t="n"/>
      <c r="G32" s="66" t="n"/>
      <c r="H32" s="438" t="n"/>
      <c r="I32" s="438" t="n"/>
      <c r="J32" s="420" t="n"/>
      <c r="K32" s="73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N32" s="449" t="n"/>
      <c r="O32" s="449" t="n"/>
      <c r="P32" s="449" t="n"/>
      <c r="Q32" s="449" t="n"/>
    </row>
    <row r="33" ht="27" customHeight="1" s="462">
      <c r="A33" s="423">
        <f>IF(B33="","",COUNTA($B$5:B33))</f>
        <v/>
      </c>
      <c r="B33" s="57" t="n"/>
      <c r="C33" s="63" t="n"/>
      <c r="D33" s="64" t="n"/>
      <c r="E33" s="57" t="n"/>
      <c r="F33" s="57" t="n"/>
      <c r="G33" s="66" t="n"/>
      <c r="H33" s="438" t="n"/>
      <c r="I33" s="427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N33" s="449" t="n"/>
      <c r="O33" s="449" t="n"/>
      <c r="P33" s="449" t="n"/>
      <c r="Q33" s="449" t="n"/>
      <c r="R33" s="449" t="n"/>
    </row>
    <row r="34" ht="27" customHeight="1" s="462">
      <c r="A34" s="423">
        <f>IF(B34="","",COUNTA($B$5:B34))</f>
        <v/>
      </c>
      <c r="B34" s="57" t="n"/>
      <c r="C34" s="420" t="n"/>
      <c r="D34" s="63" t="n"/>
      <c r="E34" s="441" t="n"/>
      <c r="F34" s="57" t="n"/>
      <c r="G34" s="65" t="n"/>
      <c r="H34" s="438" t="n"/>
      <c r="I34" s="427" t="n"/>
      <c r="J34" s="57" t="n"/>
      <c r="K34" s="72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N34" s="449" t="n"/>
      <c r="O34" s="449" t="n"/>
      <c r="P34" s="449" t="n"/>
      <c r="Q34" s="449" t="n"/>
    </row>
    <row r="35" ht="27" customHeight="1" s="462">
      <c r="A35" s="423">
        <f>IF(B35="","",COUNTA($B$5:B35))</f>
        <v/>
      </c>
      <c r="B35" s="57" t="n"/>
      <c r="C35" s="57" t="n"/>
      <c r="D35" s="441" t="n"/>
      <c r="E35" s="441" t="n"/>
      <c r="F35" s="57" t="n"/>
      <c r="G35" s="66" t="n"/>
      <c r="H35" s="438" t="n"/>
      <c r="I35" s="427" t="n"/>
      <c r="J35" s="57" t="n"/>
      <c r="K35" s="7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N35" s="449" t="n"/>
      <c r="O35" s="449" t="n"/>
      <c r="P35" s="449" t="n"/>
      <c r="Q35" s="449" t="n"/>
    </row>
    <row r="36" ht="27.75" customHeight="1" s="462">
      <c r="A36" s="423">
        <f>IF(B36="","",COUNTA($B$5:B36))</f>
        <v/>
      </c>
      <c r="B36" s="441" t="n"/>
      <c r="C36" s="440" t="n"/>
      <c r="D36" s="441" t="n"/>
      <c r="E36" s="440" t="n"/>
      <c r="F36" s="57" t="n"/>
      <c r="G36" s="65" t="n"/>
      <c r="H36" s="438" t="n"/>
      <c r="I36" s="438" t="n"/>
      <c r="J36" s="420" t="n"/>
      <c r="K36" s="72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N36" s="449" t="n"/>
      <c r="O36" s="449" t="n"/>
      <c r="P36" s="449" t="n"/>
      <c r="Q36" s="449" t="n"/>
    </row>
    <row r="37" ht="27" customHeight="1" s="462">
      <c r="A37" s="423">
        <f>IF(B37="","",COUNTA($B$5:B37))</f>
        <v/>
      </c>
      <c r="B37" s="441" t="n"/>
      <c r="C37" s="63" t="n"/>
      <c r="D37" s="440" t="n"/>
      <c r="E37" s="441" t="n"/>
      <c r="F37" s="57" t="n"/>
      <c r="G37" s="59" t="n"/>
      <c r="H37" s="438" t="n"/>
      <c r="I37" s="427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N37" s="449" t="n"/>
      <c r="O37" s="449" t="n"/>
      <c r="P37" s="449" t="n"/>
      <c r="Q37" s="449" t="n"/>
    </row>
    <row r="38" ht="27" customHeight="1" s="462">
      <c r="A38" s="423" t="n"/>
      <c r="B38" s="441" t="n"/>
      <c r="C38" s="63" t="n"/>
      <c r="D38" s="440" t="n"/>
      <c r="E38" s="441" t="n"/>
      <c r="F38" s="57" t="n"/>
      <c r="G38" s="59" t="n"/>
      <c r="H38" s="438" t="n"/>
      <c r="I38" s="427" t="n"/>
      <c r="J38" s="57" t="n"/>
      <c r="K38" s="73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N38" s="449" t="n"/>
      <c r="O38" s="449" t="n"/>
      <c r="P38" s="449" t="n"/>
      <c r="Q38" s="449" t="n"/>
      <c r="R38" s="449" t="n"/>
    </row>
    <row r="39" ht="27" customHeight="1" s="462">
      <c r="A39" s="423">
        <f>IF(B39="","",COUNTA($B$5:B39))</f>
        <v/>
      </c>
      <c r="B39" s="441" t="n"/>
      <c r="C39" s="63" t="n"/>
      <c r="D39" s="440" t="n"/>
      <c r="E39" s="441" t="n"/>
      <c r="F39" s="57" t="n"/>
      <c r="G39" s="59" t="n"/>
      <c r="H39" s="438" t="n"/>
      <c r="I39" s="427" t="n"/>
      <c r="J39" s="57" t="n"/>
      <c r="K39" s="73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N39" s="449" t="n"/>
      <c r="O39" s="449" t="n"/>
      <c r="P39" s="449" t="n"/>
      <c r="Q39" s="449" t="n"/>
      <c r="R39" s="449" t="n"/>
    </row>
    <row r="40" ht="27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74" t="n"/>
      <c r="I40" s="80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N40" s="449" t="n"/>
      <c r="O40" s="449" t="n"/>
      <c r="P40" s="449" t="n"/>
      <c r="Q40" s="449" t="n"/>
      <c r="R40" s="449" t="n"/>
    </row>
    <row r="41" ht="27" customHeight="1" s="462">
      <c r="A41" s="423">
        <f>IF(B41="","",COUNTA($B$5:B41))</f>
        <v/>
      </c>
      <c r="B41" s="420" t="n"/>
      <c r="C41" s="420" t="n"/>
      <c r="D41" s="420" t="n"/>
      <c r="E41" s="420" t="n"/>
      <c r="F41" s="420" t="n"/>
      <c r="G41" s="69" t="n"/>
      <c r="H41" s="74" t="n"/>
      <c r="I41" s="74" t="n"/>
      <c r="J41" s="420" t="n"/>
      <c r="K41" s="22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N41" s="449" t="n"/>
      <c r="O41" s="449" t="n"/>
      <c r="P41" s="449" t="n"/>
      <c r="Q41" s="449" t="n"/>
    </row>
    <row r="42" ht="27" customHeight="1" s="462">
      <c r="A42" s="423">
        <f>IF(B42="","",COUNTA($B$5:B42))</f>
        <v/>
      </c>
      <c r="B42" s="420" t="n"/>
      <c r="C42" s="420" t="n"/>
      <c r="D42" s="420" t="n"/>
      <c r="E42" s="420" t="n"/>
      <c r="F42" s="420" t="n"/>
      <c r="G42" s="69" t="n"/>
      <c r="H42" s="70" t="n"/>
      <c r="I42" s="70" t="n"/>
      <c r="J42" s="420" t="n"/>
      <c r="K42" s="22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61" t="n"/>
      <c r="N42" s="449" t="n"/>
      <c r="O42" s="449" t="n"/>
      <c r="P42" s="449" t="n"/>
      <c r="Q42" s="449" t="n"/>
    </row>
    <row r="43">
      <c r="B43" s="18" t="n"/>
      <c r="C43" s="18" t="n"/>
      <c r="D43" s="18" t="n"/>
      <c r="E43" s="18" t="n"/>
      <c r="F43" s="18" t="n"/>
      <c r="G43" s="19" t="n"/>
      <c r="H43" s="33" t="n"/>
      <c r="I43" s="18" t="n"/>
      <c r="J43" s="18" t="n"/>
      <c r="K43" s="18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2" t="n"/>
      <c r="M43" s="2" t="n"/>
    </row>
    <row r="44" ht="14.25" customHeight="1" s="462" thickBot="1">
      <c r="J44" s="2" t="n"/>
      <c r="K44" s="2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  <c r="M44" s="2" t="n"/>
    </row>
    <row r="45">
      <c r="B45" s="22" t="n"/>
      <c r="C45" s="25" t="n"/>
      <c r="D45" s="25" t="inlineStr">
        <is>
          <t>現在待機場所</t>
        </is>
      </c>
      <c r="E45" s="25" t="inlineStr">
        <is>
          <t>待機予定場所</t>
        </is>
      </c>
      <c r="F45" s="466" t="n"/>
      <c r="H45" s="375" t="inlineStr">
        <is>
          <t>目標距離</t>
        </is>
      </c>
      <c r="I45" s="465" t="n"/>
      <c r="J45" s="467" t="n"/>
      <c r="K45" s="377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  <c r="M45" s="2" t="n"/>
    </row>
    <row r="46" ht="14.25" customHeight="1" s="462" thickBot="1">
      <c r="B46" s="26" t="inlineStr">
        <is>
          <t>2(255)</t>
        </is>
      </c>
      <c r="C46" s="21" t="inlineStr">
        <is>
          <t>山岸</t>
        </is>
      </c>
      <c r="D46" s="34" t="n"/>
      <c r="E46" s="34" t="n"/>
      <c r="F46" s="466" t="n"/>
      <c r="H46" s="468" t="n"/>
      <c r="I46" s="477" t="n"/>
      <c r="J46" s="469" t="n"/>
      <c r="K46" s="470" t="n"/>
      <c r="L46" s="2" t="n"/>
      <c r="M46" s="2" t="n"/>
    </row>
    <row r="47">
      <c r="B47" s="26" t="inlineStr">
        <is>
          <t>8(254)</t>
        </is>
      </c>
      <c r="C47" s="21" t="inlineStr">
        <is>
          <t>砂川</t>
        </is>
      </c>
      <c r="D47" s="35" t="n"/>
      <c r="E47" s="35" t="n"/>
      <c r="F47" s="466" t="n"/>
      <c r="H47" s="368" t="inlineStr">
        <is>
          <t>残距離</t>
        </is>
      </c>
      <c r="J47" s="471" t="n"/>
      <c r="K47" s="354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7" s="2" t="n"/>
      <c r="M47" s="2" t="n"/>
    </row>
    <row r="48" ht="14.25" customHeight="1" s="462" thickBot="1">
      <c r="B48" s="26" t="inlineStr">
        <is>
          <t>9(256)</t>
        </is>
      </c>
      <c r="C48" s="21" t="inlineStr">
        <is>
          <t>前川</t>
        </is>
      </c>
      <c r="D48" s="35" t="n"/>
      <c r="E48" s="35" t="n"/>
      <c r="F48" s="466" t="n"/>
      <c r="H48" s="468" t="n"/>
      <c r="I48" s="477" t="n"/>
      <c r="J48" s="469" t="n"/>
      <c r="K48" s="472" t="n"/>
      <c r="L48" s="2" t="n"/>
      <c r="M48" s="2" t="n"/>
    </row>
    <row r="49" ht="14.25" customHeight="1" s="462" thickBot="1">
      <c r="B49" s="26" t="inlineStr">
        <is>
          <t>10(257)</t>
        </is>
      </c>
      <c r="C49" s="35" t="n"/>
      <c r="D49" s="35" t="n"/>
      <c r="E49" s="35" t="n"/>
      <c r="F49" s="466" t="n"/>
      <c r="J49" s="2" t="n"/>
      <c r="K49" s="2">
        <f t="array" ref="K49">IF(OR(H49="",L49=""),"",IFERROR(_xlfn.LET(_xlpm.vt,VLOOKUP(IFERROR(VALUE(LEFT(H49,FIND("＊",H49&amp;"＊")-1)),H49),運賃マスター!$A$22:$B$40,2,FALSE),_xlpm.d,L49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9" s="2" t="n"/>
      <c r="M49" s="2" t="n"/>
    </row>
    <row r="50">
      <c r="B50" s="26" t="inlineStr">
        <is>
          <t>11(258)</t>
        </is>
      </c>
      <c r="C50" s="21" t="inlineStr">
        <is>
          <t>郡司</t>
        </is>
      </c>
      <c r="D50" s="35" t="n"/>
      <c r="E50" s="35" t="n"/>
      <c r="F50" s="466" t="n"/>
      <c r="H50" s="350" t="inlineStr">
        <is>
          <t>依頼件数</t>
        </is>
      </c>
      <c r="I50" s="465" t="n"/>
      <c r="J50" s="467" t="n"/>
      <c r="K50" s="354">
        <f t="array" ref="K50">IF(OR(H50="",L50=""),"",IFERROR(_xlfn.LET(_xlpm.vt,VLOOKUP(IFERROR(VALUE(LEFT(H50,FIND("＊",H50&amp;"＊")-1)),H50),運賃マスター!$A$22:$B$40,2,FALSE),_xlpm.d,L50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0" s="2" t="n"/>
      <c r="M50" s="2" t="n"/>
    </row>
    <row r="51" ht="14.25" customHeight="1" s="462" thickBot="1">
      <c r="B51" s="26" t="inlineStr">
        <is>
          <t>12(736)</t>
        </is>
      </c>
      <c r="C51" s="21" t="n"/>
      <c r="D51" s="35" t="n"/>
      <c r="E51" s="35" t="n"/>
      <c r="F51" s="466" t="n"/>
      <c r="H51" s="468" t="n"/>
      <c r="I51" s="477" t="n"/>
      <c r="J51" s="469" t="n"/>
      <c r="K51" s="472" t="n"/>
      <c r="L51" s="2" t="n"/>
      <c r="M51" s="2" t="n"/>
    </row>
    <row r="52" ht="16.5" customHeight="1" s="462">
      <c r="B52" s="26" t="inlineStr">
        <is>
          <t>13(737)</t>
        </is>
      </c>
      <c r="C52" s="21" t="n"/>
      <c r="D52" s="35" t="n"/>
      <c r="E52" s="35" t="n"/>
      <c r="F52" s="466" t="n"/>
      <c r="H52" s="38" t="n"/>
      <c r="I52" s="38" t="n"/>
      <c r="J52" s="38" t="n"/>
      <c r="K52" s="39" t="n"/>
      <c r="L52" s="2" t="n"/>
      <c r="M52" s="2" t="n"/>
    </row>
    <row r="53" ht="16.5" customHeight="1" s="462">
      <c r="B53" s="40" t="inlineStr">
        <is>
          <t>14(738)</t>
        </is>
      </c>
      <c r="C53" s="21" t="inlineStr">
        <is>
          <t>辻井</t>
        </is>
      </c>
      <c r="D53" s="35" t="n"/>
      <c r="E53" s="35" t="n"/>
      <c r="F53" s="466" t="n"/>
      <c r="H53" s="38" t="n"/>
      <c r="I53" s="38" t="n"/>
      <c r="J53" s="38" t="n"/>
      <c r="K53" s="39" t="n"/>
      <c r="L53" s="2" t="n"/>
      <c r="M53" s="2" t="n"/>
    </row>
    <row r="54" ht="8.25" customHeight="1" s="462">
      <c r="B54" s="41" t="n"/>
      <c r="C54" s="42" t="n"/>
      <c r="D54" s="43" t="n"/>
      <c r="E54" s="44" t="n"/>
      <c r="F54" s="349" t="n"/>
      <c r="H54" s="38" t="n"/>
      <c r="I54" s="38" t="n"/>
      <c r="J54" s="38" t="n"/>
      <c r="K54" s="39" t="n"/>
      <c r="L54" s="2" t="n"/>
      <c r="M54" s="2" t="n"/>
    </row>
    <row r="55" ht="17.25" customHeight="1" s="462">
      <c r="B55" s="45" t="n">
        <v>7290</v>
      </c>
      <c r="C55" s="21" t="inlineStr">
        <is>
          <t>佐藤</t>
        </is>
      </c>
      <c r="D55" s="35" t="n"/>
      <c r="E55" s="348" t="n"/>
      <c r="F55" s="349" t="n"/>
      <c r="H55" s="38" t="n"/>
      <c r="I55" s="38" t="n"/>
      <c r="J55" s="38" t="n"/>
      <c r="K55" s="39" t="n"/>
      <c r="L55" s="2" t="n"/>
      <c r="M55" s="2" t="n"/>
    </row>
    <row r="56" ht="17.25" customHeight="1" s="462">
      <c r="B56" s="45" t="n">
        <v>7291</v>
      </c>
      <c r="C56" s="21" t="inlineStr">
        <is>
          <t>末次</t>
        </is>
      </c>
      <c r="D56" s="35" t="n"/>
      <c r="E56" s="348" t="n"/>
      <c r="F56" s="349" t="n"/>
      <c r="H56" s="38" t="n"/>
      <c r="I56" s="38" t="n"/>
      <c r="J56" s="38" t="n"/>
      <c r="K56" s="39" t="n"/>
      <c r="L56" s="2" t="n"/>
      <c r="M56" s="2" t="n"/>
    </row>
    <row r="57" ht="9" customHeight="1" s="462">
      <c r="B57" s="41" t="n"/>
      <c r="C57" s="42" t="n"/>
      <c r="D57" s="44" t="n"/>
      <c r="E57" s="44" t="n"/>
      <c r="F57" s="349" t="n"/>
      <c r="H57" s="38" t="n"/>
      <c r="I57" s="38" t="n"/>
      <c r="J57" s="38" t="n"/>
      <c r="K57" s="39" t="n"/>
      <c r="L57" s="2" t="n"/>
      <c r="M57" s="2" t="n"/>
    </row>
    <row r="58" ht="16.5" customHeight="1" s="462">
      <c r="B58" s="45" t="n">
        <v>333</v>
      </c>
      <c r="C58" s="21" t="inlineStr">
        <is>
          <t>金井/奥田</t>
        </is>
      </c>
      <c r="D58" s="35" t="n"/>
      <c r="E58" s="484" t="n"/>
      <c r="F58" s="469" t="n"/>
      <c r="H58" s="38" t="n"/>
      <c r="I58" s="38" t="n"/>
      <c r="J58" s="38" t="n"/>
      <c r="K58" s="39" t="n"/>
      <c r="L58" s="2" t="n"/>
      <c r="M58" s="2" t="n"/>
    </row>
    <row r="59" ht="16.5" customHeight="1" s="462">
      <c r="B59" s="46" t="n">
        <v>666</v>
      </c>
      <c r="C59" s="21" t="inlineStr">
        <is>
          <t>徳留</t>
        </is>
      </c>
      <c r="D59" s="35" t="n"/>
      <c r="E59" s="35" t="n"/>
      <c r="F59" s="466" t="n"/>
      <c r="H59" s="38" t="n"/>
      <c r="I59" s="38" t="n"/>
      <c r="J59" s="38" t="n"/>
      <c r="K59" s="39" t="n"/>
      <c r="L59" s="2" t="n"/>
      <c r="M59" s="2" t="n"/>
    </row>
    <row r="60" ht="16.5" customHeight="1" s="462">
      <c r="B60" s="46" t="n">
        <v>777</v>
      </c>
      <c r="C60" s="21" t="n"/>
      <c r="D60" s="35" t="n"/>
      <c r="E60" s="348" t="n"/>
      <c r="F60" s="349" t="n"/>
      <c r="H60" s="38" t="n"/>
      <c r="I60" s="38" t="n"/>
      <c r="J60" s="38" t="n"/>
      <c r="K60" s="39" t="n"/>
      <c r="L60" s="2" t="n"/>
      <c r="M60" s="2" t="n"/>
    </row>
    <row r="61" ht="16.5" customHeight="1" s="462">
      <c r="B61" s="47" t="n">
        <v>330</v>
      </c>
      <c r="C61" s="21" t="n"/>
      <c r="D61" s="35" t="n"/>
      <c r="E61" s="35" t="n"/>
      <c r="F61" s="466" t="n"/>
      <c r="H61" s="38" t="n"/>
      <c r="I61" s="38" t="n"/>
      <c r="J61" s="38" t="n"/>
      <c r="K61" s="39" t="n"/>
      <c r="L61" s="2" t="n"/>
      <c r="M61" s="2" t="n"/>
    </row>
    <row r="62" ht="16.5" customHeight="1" s="462">
      <c r="B62" s="47" t="n">
        <v>990</v>
      </c>
      <c r="C62" s="21" t="inlineStr">
        <is>
          <t>山原</t>
        </is>
      </c>
      <c r="D62" s="35" t="n"/>
      <c r="E62" s="35" t="n"/>
      <c r="F62" s="466" t="n"/>
      <c r="H62" s="38" t="n"/>
      <c r="I62" s="38" t="n"/>
      <c r="J62" s="38" t="n"/>
      <c r="K62" s="39" t="n"/>
      <c r="L62" s="2" t="n"/>
      <c r="M62" s="2" t="n"/>
    </row>
    <row r="63">
      <c r="J63" s="2" t="n"/>
      <c r="K63" s="2" t="n"/>
      <c r="L63" s="2" t="n"/>
      <c r="M63" s="2" t="n"/>
    </row>
    <row r="64">
      <c r="C64" s="449" t="inlineStr">
        <is>
          <t>出発→到着</t>
        </is>
      </c>
      <c r="D64" s="420" t="inlineStr">
        <is>
          <t>備考</t>
        </is>
      </c>
      <c r="J64" s="2" t="n"/>
      <c r="K64" s="2" t="n"/>
      <c r="L64" s="2" t="n"/>
      <c r="M64" s="2" t="n"/>
    </row>
    <row r="65">
      <c r="B65" s="27" t="inlineStr">
        <is>
          <t>①</t>
        </is>
      </c>
      <c r="C65" s="449" t="inlineStr">
        <is>
          <t>東→西</t>
        </is>
      </c>
      <c r="D65" s="485" t="inlineStr">
        <is>
          <t>①Aチーム優先</t>
        </is>
      </c>
      <c r="E65" s="486" t="n"/>
      <c r="F65" s="486" t="n"/>
      <c r="G65" s="486" t="n"/>
      <c r="H65" s="486" t="n"/>
      <c r="I65" s="486" t="n"/>
      <c r="J65" s="466" t="n"/>
      <c r="K65" s="2" t="n"/>
      <c r="L65" s="2" t="n"/>
      <c r="M65" s="2" t="n"/>
    </row>
    <row r="66">
      <c r="B66" s="27" t="inlineStr">
        <is>
          <t>②</t>
        </is>
      </c>
      <c r="C66" s="449" t="inlineStr">
        <is>
          <t>東→東</t>
        </is>
      </c>
      <c r="D66" s="485" t="inlineStr">
        <is>
          <t>②急ぎ案件の場合、道路状況も伝えてあげる。</t>
        </is>
      </c>
      <c r="E66" s="486" t="n"/>
      <c r="F66" s="486" t="n"/>
      <c r="G66" s="486" t="n"/>
      <c r="H66" s="486" t="n"/>
      <c r="I66" s="486" t="n"/>
      <c r="J66" s="466" t="n"/>
      <c r="K66" s="2" t="n"/>
      <c r="L66" s="2" t="n"/>
      <c r="M66" s="2" t="n"/>
    </row>
    <row r="67">
      <c r="B67" s="27" t="inlineStr">
        <is>
          <t>③</t>
        </is>
      </c>
      <c r="C67" s="449" t="inlineStr">
        <is>
          <t>西→東</t>
        </is>
      </c>
      <c r="D67" s="485" t="inlineStr">
        <is>
          <t>③各ドライバーの位置からの帰社のタイミング・夕方の配置</t>
        </is>
      </c>
      <c r="E67" s="486" t="n"/>
      <c r="F67" s="486" t="n"/>
      <c r="G67" s="486" t="n"/>
      <c r="H67" s="486" t="n"/>
      <c r="I67" s="486" t="n"/>
      <c r="J67" s="466" t="n"/>
      <c r="K67" s="2" t="n"/>
      <c r="L67" s="2" t="n"/>
      <c r="M67" s="2" t="n"/>
    </row>
    <row r="68">
      <c r="B68" s="27" t="inlineStr">
        <is>
          <t>④</t>
        </is>
      </c>
      <c r="C68" s="449" t="inlineStr">
        <is>
          <t>西→西</t>
        </is>
      </c>
      <c r="D68" s="485" t="inlineStr">
        <is>
          <t>④依頼を受ける際の、希望時間と現状の位置。行けるか行けないかの判断をしっかりと。</t>
        </is>
      </c>
      <c r="E68" s="486" t="n"/>
      <c r="F68" s="486" t="n"/>
      <c r="G68" s="486" t="n"/>
      <c r="H68" s="486" t="n"/>
      <c r="I68" s="486" t="n"/>
      <c r="J68" s="466" t="n"/>
      <c r="K68" s="2" t="n"/>
      <c r="L68" s="2" t="n"/>
      <c r="M68" s="2" t="n"/>
    </row>
    <row r="69">
      <c r="D69" s="485" t="inlineStr">
        <is>
          <t>⑤軽に乗るか乗らないかの判断に気を付ける。</t>
        </is>
      </c>
      <c r="E69" s="486" t="n"/>
      <c r="F69" s="486" t="n"/>
      <c r="G69" s="486" t="n"/>
      <c r="H69" s="486" t="n"/>
      <c r="I69" s="486" t="n"/>
      <c r="J69" s="466" t="n"/>
      <c r="K69" s="2" t="n"/>
      <c r="L69" s="2" t="n"/>
      <c r="M69" s="2" t="n"/>
    </row>
    <row r="70">
      <c r="B70" s="22" t="n"/>
      <c r="C70" s="420" t="inlineStr">
        <is>
          <t>現状配置(予測)</t>
        </is>
      </c>
      <c r="D70" s="485" t="inlineStr">
        <is>
          <t>⑥18/1日、1.8/1人、3件/1人</t>
        </is>
      </c>
      <c r="E70" s="486" t="n"/>
      <c r="F70" s="486" t="n"/>
      <c r="G70" s="486" t="n"/>
      <c r="H70" s="486" t="n"/>
      <c r="I70" s="486" t="n"/>
      <c r="J70" s="466" t="n"/>
      <c r="K70" s="2" t="n"/>
      <c r="L70" s="2" t="n"/>
      <c r="M70" s="2" t="n"/>
    </row>
    <row r="71">
      <c r="B71" s="420" t="inlineStr">
        <is>
          <t>西(神戸西・弥栄台)</t>
        </is>
      </c>
      <c r="C71" s="420" t="n"/>
      <c r="D71" s="485" t="inlineStr">
        <is>
          <t>⑦依頼書の見落とし(日付、入替、入出庫、場所）</t>
        </is>
      </c>
      <c r="E71" s="486" t="n"/>
      <c r="F71" s="486" t="n"/>
      <c r="G71" s="486" t="n"/>
      <c r="H71" s="486" t="n"/>
      <c r="I71" s="486" t="n"/>
      <c r="J71" s="466" t="n"/>
      <c r="K71" s="2" t="n"/>
      <c r="L71" s="2" t="n"/>
      <c r="M71" s="2" t="n"/>
    </row>
    <row r="72">
      <c r="B72" s="420" t="inlineStr">
        <is>
          <t>真ん中(摩耶・中央)</t>
        </is>
      </c>
      <c r="C72" s="420" t="n"/>
      <c r="D72" s="485" t="inlineStr">
        <is>
          <t>⑧3ｔ車と2ｔ車への振り方(西と東に振り分ける)</t>
        </is>
      </c>
      <c r="E72" s="486" t="n"/>
      <c r="F72" s="486" t="n"/>
      <c r="G72" s="486" t="n"/>
      <c r="H72" s="486" t="n"/>
      <c r="I72" s="486" t="n"/>
      <c r="J72" s="466" t="n"/>
      <c r="K72" s="2" t="n"/>
      <c r="L72" s="2" t="n"/>
      <c r="M72" s="2" t="n"/>
    </row>
    <row r="73">
      <c r="B73" s="420" t="inlineStr">
        <is>
          <t>東(尼崎・伊丹・西宮)</t>
        </is>
      </c>
      <c r="C73" s="420" t="n"/>
      <c r="D73" s="485" t="inlineStr">
        <is>
          <t>⑨</t>
        </is>
      </c>
      <c r="E73" s="486" t="n"/>
      <c r="F73" s="486" t="n"/>
      <c r="G73" s="486" t="n"/>
      <c r="H73" s="486" t="n"/>
      <c r="I73" s="486" t="n"/>
      <c r="J73" s="466" t="n"/>
      <c r="K73" s="2" t="n"/>
      <c r="L73" s="2" t="n"/>
      <c r="M73" s="2" t="n"/>
    </row>
    <row r="74">
      <c r="B74" s="48" t="inlineStr">
        <is>
          <t>極東(港区・淀屋橋)</t>
        </is>
      </c>
      <c r="C74" s="420" t="n"/>
      <c r="D74" s="49" t="n"/>
      <c r="E74" s="49" t="n"/>
      <c r="F74" s="49" t="n"/>
      <c r="G74" s="49" t="n"/>
      <c r="H74" s="49" t="n"/>
      <c r="I74" s="49" t="n"/>
      <c r="J74" s="49" t="n"/>
      <c r="K74" s="2" t="n"/>
      <c r="L74" s="2" t="n"/>
      <c r="M74" s="2" t="n"/>
    </row>
    <row r="75" ht="14.25" customHeight="1" s="462" thickBot="1">
      <c r="J75" s="2" t="n"/>
      <c r="K75" s="2" t="n"/>
      <c r="L75" s="2" t="n"/>
      <c r="M75" s="2" t="n"/>
    </row>
    <row r="76">
      <c r="C76" s="473" t="inlineStr">
        <is>
          <t>合計額/380</t>
        </is>
      </c>
      <c r="D76" s="358">
        <f>SUM(G76)</f>
        <v/>
      </c>
      <c r="F76" s="360" t="inlineStr">
        <is>
          <t>売り上げ額</t>
        </is>
      </c>
      <c r="G76" s="362">
        <f>SUM(SUM(K4:K42))+SUM(#REF!)</f>
        <v/>
      </c>
      <c r="H76" s="465" t="n"/>
      <c r="I76" s="465" t="n"/>
      <c r="J76" s="467" t="n"/>
      <c r="K76" s="2" t="n"/>
      <c r="L76" s="2" t="n"/>
      <c r="M76" s="2" t="n"/>
    </row>
    <row r="77" ht="14.25" customHeight="1" s="462" thickBot="1">
      <c r="C77" s="474" t="n"/>
      <c r="D77" s="475" t="n"/>
      <c r="F77" s="468" t="n"/>
      <c r="G77" s="476" t="n"/>
      <c r="H77" s="477" t="n"/>
      <c r="I77" s="477" t="n"/>
      <c r="J77" s="469" t="n"/>
      <c r="K77" s="2" t="n"/>
      <c r="L77" s="2" t="n"/>
      <c r="M77" s="2" t="n"/>
    </row>
    <row r="78">
      <c r="C78" s="478" t="inlineStr">
        <is>
          <t>前日までの売上合計額</t>
        </is>
      </c>
      <c r="D78" s="479">
        <f>SUM(B87)</f>
        <v/>
      </c>
      <c r="J78" s="2" t="n"/>
      <c r="K78" s="2" t="n"/>
      <c r="L78" s="2" t="n"/>
      <c r="M78" s="2" t="n"/>
    </row>
    <row r="79" ht="14.25" customHeight="1" s="462" thickBot="1">
      <c r="C79" s="480" t="n"/>
      <c r="D79" s="480" t="n"/>
      <c r="F79" s="420" t="inlineStr">
        <is>
          <t>金井（55)</t>
        </is>
      </c>
      <c r="G79" s="345" t="n"/>
      <c r="H79" s="466" t="n"/>
      <c r="I79" s="130" t="n"/>
      <c r="J79" s="2" t="n"/>
      <c r="K79" s="2" t="n"/>
      <c r="L79" s="2" t="n"/>
      <c r="M79" s="2" t="n"/>
    </row>
    <row r="80" ht="14.25" customHeight="1" s="462" thickTop="1">
      <c r="D80" s="346">
        <f>D76+D78</f>
        <v/>
      </c>
      <c r="F80" s="420" t="inlineStr">
        <is>
          <t>粟津(55)</t>
        </is>
      </c>
      <c r="G80" s="340" t="n"/>
      <c r="H80" s="466" t="n"/>
      <c r="I80" s="131" t="n"/>
      <c r="J80" s="2" t="n"/>
      <c r="K80" s="2" t="n"/>
      <c r="L80" s="2" t="n"/>
      <c r="M80" s="2" t="n"/>
    </row>
    <row r="81">
      <c r="F81" s="420" t="inlineStr">
        <is>
          <t>砂川(50)</t>
        </is>
      </c>
      <c r="G81" s="340" t="n"/>
      <c r="H81" s="466" t="n"/>
      <c r="I81" s="131" t="n"/>
      <c r="J81" s="2" t="n"/>
      <c r="K81" s="2" t="n"/>
      <c r="L81" s="2" t="n"/>
      <c r="M81" s="2" t="n"/>
    </row>
    <row r="82">
      <c r="C82" s="2" t="inlineStr">
        <is>
          <t>高代</t>
        </is>
      </c>
      <c r="F82" s="420" t="inlineStr">
        <is>
          <t>前川(50)</t>
        </is>
      </c>
      <c r="G82" s="340" t="n"/>
      <c r="H82" s="466" t="n"/>
      <c r="I82" s="131" t="n"/>
      <c r="J82" s="2" t="n"/>
      <c r="K82" s="2" t="n"/>
      <c r="L82" s="2" t="n"/>
      <c r="M82" s="2" t="n"/>
    </row>
    <row r="83">
      <c r="C83" s="2" t="inlineStr">
        <is>
          <t>返還代</t>
        </is>
      </c>
      <c r="F83" s="420" t="inlineStr">
        <is>
          <t>佐藤(50)</t>
        </is>
      </c>
      <c r="G83" s="345" t="n"/>
      <c r="H83" s="466" t="n"/>
      <c r="I83" s="130" t="n"/>
      <c r="J83" s="2" t="n"/>
      <c r="K83" s="2" t="n"/>
      <c r="L83" s="2" t="n"/>
      <c r="M83" s="2" t="n"/>
    </row>
    <row r="84">
      <c r="C84" s="2" t="inlineStr">
        <is>
          <t>回収率</t>
        </is>
      </c>
      <c r="D84" s="50">
        <f>D83/D82</f>
        <v/>
      </c>
      <c r="F84" s="420" t="inlineStr">
        <is>
          <t>末次(55)</t>
        </is>
      </c>
      <c r="G84" s="340" t="n"/>
      <c r="H84" s="466" t="n"/>
      <c r="I84" s="131" t="n"/>
      <c r="J84" s="2" t="n"/>
      <c r="K84" s="2" t="n"/>
      <c r="L84" s="2" t="n"/>
      <c r="M84" s="2" t="n"/>
    </row>
    <row r="85">
      <c r="C85" s="2" t="inlineStr">
        <is>
          <t>費</t>
        </is>
      </c>
      <c r="D85" s="2">
        <f>D82-D83</f>
        <v/>
      </c>
      <c r="F85" s="420" t="inlineStr">
        <is>
          <t>筒井(75)</t>
        </is>
      </c>
      <c r="G85" s="340" t="n"/>
      <c r="H85" s="466" t="n"/>
      <c r="I85" s="131" t="n"/>
      <c r="J85" s="2" t="n"/>
      <c r="K85" s="2" t="n"/>
      <c r="L85" s="2" t="n"/>
      <c r="M85" s="2" t="n"/>
    </row>
    <row r="86">
      <c r="F86" s="420" t="inlineStr">
        <is>
          <t>山岸(40)</t>
        </is>
      </c>
      <c r="G86" s="340" t="n"/>
      <c r="H86" s="466" t="n"/>
      <c r="I86" s="131" t="n"/>
      <c r="J86" s="2" t="n"/>
      <c r="K86" s="2" t="n"/>
      <c r="L86" s="2" t="n"/>
      <c r="M86" s="2" t="n"/>
    </row>
    <row r="87" ht="23.25" customHeight="1" s="462">
      <c r="B87" s="71" t="n"/>
      <c r="F87" s="420" t="inlineStr">
        <is>
          <t>多苗(30)</t>
        </is>
      </c>
      <c r="G87" s="340" t="n"/>
      <c r="H87" s="466" t="n"/>
      <c r="I87" s="131" t="n"/>
      <c r="J87" s="2" t="n"/>
      <c r="K87" s="2" t="n"/>
      <c r="L87" s="2" t="inlineStr">
        <is>
          <t> </t>
        </is>
      </c>
      <c r="M87" s="2" t="n"/>
    </row>
    <row r="88">
      <c r="J88" s="2" t="n"/>
      <c r="K88" s="2" t="n"/>
      <c r="L88" s="2" t="n"/>
      <c r="M88" s="2" t="n"/>
    </row>
    <row r="89">
      <c r="J89" s="2" t="n"/>
      <c r="K89" s="2" t="n"/>
      <c r="L89" s="2" t="n"/>
      <c r="M89" s="2" t="n"/>
    </row>
  </sheetData>
  <mergeCells count="58">
    <mergeCell ref="D71:J71"/>
    <mergeCell ref="E50:F50"/>
    <mergeCell ref="G81:H81"/>
    <mergeCell ref="Q7:R7"/>
    <mergeCell ref="Q3:R3"/>
    <mergeCell ref="E62:F62"/>
    <mergeCell ref="G86:H86"/>
    <mergeCell ref="Q37:R37"/>
    <mergeCell ref="D68:J68"/>
    <mergeCell ref="Q42:R42"/>
    <mergeCell ref="D73:J73"/>
    <mergeCell ref="E52:F52"/>
    <mergeCell ref="D80:D81"/>
    <mergeCell ref="K45:K46"/>
    <mergeCell ref="E48:F48"/>
    <mergeCell ref="D67:J67"/>
    <mergeCell ref="D76:D77"/>
    <mergeCell ref="K50:K51"/>
    <mergeCell ref="F76:F77"/>
    <mergeCell ref="G82:H82"/>
    <mergeCell ref="E51:F51"/>
    <mergeCell ref="B2:C2"/>
    <mergeCell ref="Q5:R5"/>
    <mergeCell ref="K47:K48"/>
    <mergeCell ref="D69:J69"/>
    <mergeCell ref="D78:D79"/>
    <mergeCell ref="Q10:R10"/>
    <mergeCell ref="H50:J51"/>
    <mergeCell ref="Q4:R4"/>
    <mergeCell ref="C76:C77"/>
    <mergeCell ref="Q35:R35"/>
    <mergeCell ref="G87:H87"/>
    <mergeCell ref="Q31:R31"/>
    <mergeCell ref="E59:F59"/>
    <mergeCell ref="G83:H83"/>
    <mergeCell ref="Q34:R34"/>
    <mergeCell ref="G76:J77"/>
    <mergeCell ref="E46:F46"/>
    <mergeCell ref="D65:J65"/>
    <mergeCell ref="E49:F49"/>
    <mergeCell ref="G80:H80"/>
    <mergeCell ref="E45:F45"/>
    <mergeCell ref="C78:C79"/>
    <mergeCell ref="E61:F61"/>
    <mergeCell ref="Q36:R36"/>
    <mergeCell ref="G79:H79"/>
    <mergeCell ref="H45:J46"/>
    <mergeCell ref="D70:J70"/>
    <mergeCell ref="D66:J66"/>
    <mergeCell ref="G85:H85"/>
    <mergeCell ref="Q32:R32"/>
    <mergeCell ref="H47:J48"/>
    <mergeCell ref="E53:F53"/>
    <mergeCell ref="D72:J72"/>
    <mergeCell ref="G84:H84"/>
    <mergeCell ref="Q41:R41"/>
    <mergeCell ref="E58:F58"/>
    <mergeCell ref="E47:F47"/>
  </mergeCells>
  <conditionalFormatting sqref="K47:K48">
    <cfRule type="cellIs" priority="5" operator="lessThan" dxfId="7">
      <formula>-90</formula>
    </cfRule>
    <cfRule type="cellIs" priority="6" operator="lessThan" dxfId="7">
      <formula>0</formula>
    </cfRule>
  </conditionalFormatting>
  <conditionalFormatting sqref="L42">
    <cfRule type="cellIs" priority="7" operator="greaterThan" dxfId="0">
      <formula>30</formula>
    </cfRule>
  </conditionalFormatting>
  <conditionalFormatting sqref="L3">
    <cfRule type="cellIs" priority="3" operator="greaterThan" dxfId="6">
      <formula>30</formula>
    </cfRule>
    <cfRule type="cellIs" priority="4" operator="greaterThan" dxfId="5">
      <formula>30</formula>
    </cfRule>
  </conditionalFormatting>
  <conditionalFormatting sqref="L3:L41">
    <cfRule type="cellIs" priority="2" operator="greaterThan" dxfId="0">
      <formula>30</formula>
    </cfRule>
  </conditionalFormatting>
  <conditionalFormatting sqref="D5:D50">
    <cfRule type="containsText" priority="8" operator="containsText" dxfId="3" text="～">
      <formula>NOT(ISERROR(SEARCH("～",D5)))</formula>
    </cfRule>
  </conditionalFormatting>
  <pageMargins left="0.7086614173228347" right="0.7086614173228347" top="0.7480314960629921" bottom="0.3543307086614174" header="0.3149606299212598" footer="0.3149606299212598"/>
  <pageSetup orientation="landscape" paperSize="9" horizontalDpi="1200" verticalDpi="1200"/>
</worksheet>
</file>

<file path=xl/worksheets/sheet41.xml><?xml version="1.0" encoding="utf-8"?>
<worksheet xmlns="http://schemas.openxmlformats.org/spreadsheetml/2006/main">
  <sheetPr codeName="Sheet41">
    <outlinePr summaryBelow="1" summaryRight="1"/>
    <pageSetUpPr fitToPage="1"/>
  </sheetPr>
  <dimension ref="A1:R67"/>
  <sheetViews>
    <sheetView zoomScaleNormal="100" workbookViewId="0">
      <selection activeCell="G7" sqref="G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6384"/>
  </cols>
  <sheetData>
    <row r="1"/>
    <row r="2" ht="15" customHeight="1" s="462" thickBot="1">
      <c r="B2" s="493" t="n">
        <v>46195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4" t="n"/>
      <c r="D10" s="441" t="n"/>
      <c r="E10" s="63" t="n"/>
      <c r="F10" s="441" t="n"/>
      <c r="G10" s="59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64" t="n"/>
      <c r="E14" s="420" t="n"/>
      <c r="F14" s="57" t="n"/>
      <c r="G14" s="66" t="n"/>
      <c r="H14" s="74" t="n"/>
      <c r="I14" s="74" t="n"/>
      <c r="J14" s="420" t="n"/>
      <c r="K14" s="73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</row>
    <row r="15" ht="27" customHeight="1" s="462">
      <c r="A15" s="423">
        <f>IF(B15="","",COUNTA($B$5:B15))</f>
        <v/>
      </c>
      <c r="B15" s="57" t="n"/>
      <c r="C15" s="420" t="n"/>
      <c r="D15" s="63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</row>
    <row r="16" ht="27" customHeight="1" s="462">
      <c r="A16" s="423">
        <f>IF(B16="","",COUNTA($B$5:B16))</f>
        <v/>
      </c>
      <c r="B16" s="441" t="n"/>
      <c r="C16" s="440" t="n"/>
      <c r="D16" s="441" t="n"/>
      <c r="E16" s="440" t="n"/>
      <c r="F16" s="57" t="n"/>
      <c r="G16" s="65" t="n"/>
      <c r="H16" s="74" t="n"/>
      <c r="I16" s="74" t="n"/>
      <c r="J16" s="420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</row>
    <row r="17" ht="27" customHeight="1" s="462">
      <c r="A17" s="423">
        <f>IF(B17="","",COUNTA($B$5:B17))</f>
        <v/>
      </c>
      <c r="B17" s="441" t="n"/>
      <c r="C17" s="63" t="n"/>
      <c r="D17" s="440" t="n"/>
      <c r="E17" s="441" t="n"/>
      <c r="F17" s="57" t="n"/>
      <c r="G17" s="59" t="n"/>
      <c r="H17" s="60" t="n"/>
      <c r="I17" s="60" t="n"/>
      <c r="J17" s="57" t="n"/>
      <c r="K17" s="73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</row>
    <row r="18" ht="27" customHeight="1" s="462">
      <c r="A18" s="423">
        <f>IF(B18="","",COUNTA($B$5:B18))</f>
        <v/>
      </c>
      <c r="B18" s="441" t="n"/>
      <c r="C18" s="63" t="n"/>
      <c r="D18" s="440" t="n"/>
      <c r="E18" s="441" t="n"/>
      <c r="F18" s="57" t="n"/>
      <c r="G18" s="59" t="n"/>
      <c r="H18" s="60" t="n"/>
      <c r="I18" s="60" t="n"/>
      <c r="J18" s="57" t="n"/>
      <c r="K18" s="73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441" t="n"/>
      <c r="C19" s="63" t="n"/>
      <c r="D19" s="440" t="n"/>
      <c r="E19" s="441" t="n"/>
      <c r="F19" s="57" t="n"/>
      <c r="G19" s="59" t="n"/>
      <c r="H19" s="60" t="n"/>
      <c r="I19" s="60" t="n"/>
      <c r="J19" s="57" t="n"/>
      <c r="K19" s="73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27.75" customHeight="1" s="462">
      <c r="A20" s="423">
        <f>IF(B20="","",COUNTA($B$5:B20))</f>
        <v/>
      </c>
      <c r="B20" s="420" t="n"/>
      <c r="C20" s="420" t="n"/>
      <c r="D20" s="420" t="n"/>
      <c r="E20" s="420" t="n"/>
      <c r="F20" s="420" t="n"/>
      <c r="G20" s="69" t="n"/>
      <c r="H20" s="70" t="n"/>
      <c r="I20" s="70" t="n"/>
      <c r="J20" s="420" t="n"/>
      <c r="K20" s="2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</row>
    <row r="21" ht="27" customHeight="1" s="462">
      <c r="B21" s="18" t="n"/>
      <c r="C21" s="18" t="n"/>
      <c r="D21" s="18" t="n"/>
      <c r="E21" s="18" t="n"/>
      <c r="F21" s="18" t="n"/>
      <c r="G21" s="19" t="n"/>
      <c r="H21" s="33" t="n"/>
      <c r="I21" s="18" t="n"/>
      <c r="J21" s="18" t="n"/>
      <c r="K21" s="18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2" ht="27" customHeight="1" s="462" thickBot="1">
      <c r="K22" s="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3" ht="27" customHeight="1" s="462">
      <c r="B23" s="22" t="n"/>
      <c r="C23" s="25" t="n"/>
      <c r="D23" s="25" t="inlineStr">
        <is>
          <t>現在待機場所</t>
        </is>
      </c>
      <c r="E23" s="25" t="inlineStr">
        <is>
          <t>待機予定場所</t>
        </is>
      </c>
      <c r="F23" s="466" t="n"/>
      <c r="H23" s="375" t="inlineStr">
        <is>
          <t>目標距離</t>
        </is>
      </c>
      <c r="I23" s="465" t="n"/>
      <c r="J23" s="467" t="n"/>
      <c r="K23" s="377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4" ht="27" customHeight="1" s="462" thickBot="1">
      <c r="B24" s="26" t="inlineStr">
        <is>
          <t>2(255)</t>
        </is>
      </c>
      <c r="C24" s="21" t="inlineStr">
        <is>
          <t>山岸</t>
        </is>
      </c>
      <c r="D24" s="34" t="n"/>
      <c r="E24" s="34" t="n"/>
      <c r="F24" s="466" t="n"/>
      <c r="H24" s="468" t="n"/>
      <c r="I24" s="477" t="n"/>
      <c r="J24" s="469" t="n"/>
      <c r="K24" s="470" t="n"/>
    </row>
    <row r="25">
      <c r="B25" s="26" t="inlineStr">
        <is>
          <t>8(254)</t>
        </is>
      </c>
      <c r="C25" s="21" t="inlineStr">
        <is>
          <t>砂川</t>
        </is>
      </c>
      <c r="D25" s="35" t="n"/>
      <c r="E25" s="35" t="n"/>
      <c r="F25" s="466" t="n"/>
      <c r="H25" s="368" t="inlineStr">
        <is>
          <t>残距離</t>
        </is>
      </c>
      <c r="J25" s="471" t="n"/>
      <c r="K25" s="354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6" ht="14.25" customHeight="1" s="462" thickBot="1">
      <c r="B26" s="26" t="inlineStr">
        <is>
          <t>9(256)</t>
        </is>
      </c>
      <c r="C26" s="21" t="inlineStr">
        <is>
          <t>前川</t>
        </is>
      </c>
      <c r="D26" s="35" t="n"/>
      <c r="E26" s="35" t="n"/>
      <c r="F26" s="466" t="n"/>
      <c r="H26" s="468" t="n"/>
      <c r="I26" s="477" t="n"/>
      <c r="J26" s="469" t="n"/>
      <c r="K26" s="472" t="n"/>
    </row>
    <row r="27" ht="14.25" customHeight="1" s="462" thickBot="1">
      <c r="B27" s="26" t="inlineStr">
        <is>
          <t>10(257)</t>
        </is>
      </c>
      <c r="C27" s="35" t="n"/>
      <c r="D27" s="35" t="n"/>
      <c r="E27" s="35" t="n"/>
      <c r="F27" s="466" t="n"/>
      <c r="K27" s="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8">
      <c r="B28" s="26" t="inlineStr">
        <is>
          <t>11(258)</t>
        </is>
      </c>
      <c r="C28" s="21" t="inlineStr">
        <is>
          <t>郡司</t>
        </is>
      </c>
      <c r="D28" s="35" t="n"/>
      <c r="E28" s="35" t="n"/>
      <c r="F28" s="466" t="n"/>
      <c r="H28" s="350" t="inlineStr">
        <is>
          <t>依頼件数</t>
        </is>
      </c>
      <c r="I28" s="465" t="n"/>
      <c r="J28" s="467" t="n"/>
      <c r="K28" s="354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9" ht="14.25" customHeight="1" s="462" thickBot="1">
      <c r="B29" s="26" t="inlineStr">
        <is>
          <t>12(736)</t>
        </is>
      </c>
      <c r="C29" s="21" t="n"/>
      <c r="D29" s="35" t="n"/>
      <c r="E29" s="35" t="n"/>
      <c r="F29" s="466" t="n"/>
      <c r="H29" s="468" t="n"/>
      <c r="I29" s="477" t="n"/>
      <c r="J29" s="469" t="n"/>
      <c r="K29" s="472" t="n"/>
    </row>
    <row r="30" ht="17.25" customHeight="1" s="462">
      <c r="B30" s="26" t="inlineStr">
        <is>
          <t>13(737)</t>
        </is>
      </c>
      <c r="C30" s="21" t="n"/>
      <c r="D30" s="35" t="n"/>
      <c r="E30" s="35" t="n"/>
      <c r="F30" s="466" t="n"/>
      <c r="H30" s="38" t="n"/>
      <c r="I30" s="38" t="n"/>
      <c r="J30" s="38" t="n"/>
      <c r="K30" s="39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1" ht="17.25" customHeight="1" s="462">
      <c r="B31" s="40" t="inlineStr">
        <is>
          <t>14(738)</t>
        </is>
      </c>
      <c r="C31" s="21" t="inlineStr">
        <is>
          <t>辻井</t>
        </is>
      </c>
      <c r="D31" s="35" t="n"/>
      <c r="E31" s="35" t="n"/>
      <c r="F31" s="466" t="n"/>
      <c r="H31" s="38" t="n"/>
      <c r="I31" s="38" t="n"/>
      <c r="J31" s="38" t="n"/>
      <c r="K31" s="39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17.25" customHeight="1" s="462">
      <c r="B32" s="41" t="n"/>
      <c r="C32" s="42" t="n"/>
      <c r="D32" s="43" t="n"/>
      <c r="E32" s="44" t="n"/>
      <c r="F32" s="349" t="n"/>
      <c r="H32" s="38" t="n"/>
      <c r="I32" s="38" t="n"/>
      <c r="J32" s="38" t="n"/>
      <c r="K32" s="39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3" ht="17.25" customHeight="1" s="462">
      <c r="B33" s="45" t="n">
        <v>7290</v>
      </c>
      <c r="C33" s="21" t="inlineStr">
        <is>
          <t>佐藤</t>
        </is>
      </c>
      <c r="D33" s="35" t="n"/>
      <c r="E33" s="348" t="n"/>
      <c r="F33" s="349" t="n"/>
      <c r="H33" s="38" t="n"/>
      <c r="I33" s="38" t="n"/>
      <c r="J33" s="38" t="n"/>
      <c r="K33" s="39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 ht="16.5" customHeight="1" s="462">
      <c r="B34" s="45" t="n">
        <v>7291</v>
      </c>
      <c r="C34" s="21" t="inlineStr">
        <is>
          <t>末次</t>
        </is>
      </c>
      <c r="D34" s="35" t="n"/>
      <c r="E34" s="348" t="n"/>
      <c r="F34" s="349" t="n"/>
      <c r="H34" s="38" t="n"/>
      <c r="I34" s="38" t="n"/>
      <c r="J34" s="38" t="n"/>
      <c r="K34" s="39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5" ht="16.5" customHeight="1" s="462">
      <c r="B35" s="41" t="n"/>
      <c r="C35" s="42" t="n"/>
      <c r="D35" s="44" t="n"/>
      <c r="E35" s="44" t="n"/>
      <c r="F35" s="349" t="n"/>
      <c r="H35" s="38" t="n"/>
      <c r="I35" s="38" t="n"/>
      <c r="J35" s="38" t="n"/>
      <c r="K35" s="39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6" ht="8.25" customHeight="1" s="462">
      <c r="B36" s="45" t="n">
        <v>333</v>
      </c>
      <c r="C36" s="21" t="inlineStr">
        <is>
          <t>金井/奥田</t>
        </is>
      </c>
      <c r="D36" s="35" t="n"/>
      <c r="E36" s="484" t="n"/>
      <c r="F36" s="469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7.25" customHeight="1" s="462">
      <c r="B37" s="46" t="n">
        <v>666</v>
      </c>
      <c r="C37" s="21" t="inlineStr">
        <is>
          <t>徳留</t>
        </is>
      </c>
      <c r="D37" s="35" t="n"/>
      <c r="E37" s="35" t="n"/>
      <c r="F37" s="466" t="n"/>
      <c r="H37" s="38" t="n"/>
      <c r="I37" s="38" t="n"/>
      <c r="J37" s="38" t="n"/>
      <c r="K37" s="39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8" ht="17.25" customHeight="1" s="462">
      <c r="B38" s="46" t="n">
        <v>777</v>
      </c>
      <c r="C38" s="21" t="n"/>
      <c r="D38" s="35" t="n"/>
      <c r="E38" s="348" t="n"/>
      <c r="F38" s="349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 ht="9" customHeight="1" s="462">
      <c r="B39" s="47" t="n">
        <v>330</v>
      </c>
      <c r="C39" s="21" t="n"/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16.5" customHeight="1" s="462">
      <c r="B40" s="47" t="n">
        <v>990</v>
      </c>
      <c r="C40" s="21" t="inlineStr">
        <is>
          <t>山原</t>
        </is>
      </c>
      <c r="D40" s="35" t="n"/>
      <c r="E40" s="35" t="n"/>
      <c r="F40" s="466" t="n"/>
      <c r="H40" s="38" t="n"/>
      <c r="I40" s="38" t="n"/>
      <c r="J40" s="38" t="n"/>
      <c r="K40" s="39" t="n"/>
    </row>
    <row r="41" ht="16.5" customHeight="1" s="462">
      <c r="K41" s="2" t="n"/>
    </row>
    <row r="42" ht="16.5" customHeight="1" s="462">
      <c r="C42" s="449" t="inlineStr">
        <is>
          <t>出発→到着</t>
        </is>
      </c>
      <c r="D42" s="420" t="inlineStr">
        <is>
          <t>備考</t>
        </is>
      </c>
      <c r="K42" s="2" t="n"/>
    </row>
    <row r="43" ht="16.5" customHeight="1" s="462">
      <c r="B43" s="27" t="inlineStr">
        <is>
          <t>①</t>
        </is>
      </c>
      <c r="C43" s="449" t="inlineStr">
        <is>
          <t>東→西</t>
        </is>
      </c>
      <c r="D43" s="485" t="inlineStr">
        <is>
          <t>①Aチーム優先</t>
        </is>
      </c>
      <c r="E43" s="486" t="n"/>
      <c r="F43" s="486" t="n"/>
      <c r="G43" s="486" t="n"/>
      <c r="H43" s="486" t="n"/>
      <c r="I43" s="486" t="n"/>
      <c r="J43" s="466" t="n"/>
      <c r="K43" s="2" t="n"/>
    </row>
    <row r="44" ht="16.5" customHeight="1" s="462">
      <c r="B44" s="27" t="inlineStr">
        <is>
          <t>②</t>
        </is>
      </c>
      <c r="C44" s="449" t="inlineStr">
        <is>
          <t>東→東</t>
        </is>
      </c>
      <c r="D44" s="485" t="inlineStr">
        <is>
          <t>②急ぎ案件の場合、道路状況も伝えてあげる。</t>
        </is>
      </c>
      <c r="E44" s="486" t="n"/>
      <c r="F44" s="486" t="n"/>
      <c r="G44" s="486" t="n"/>
      <c r="H44" s="486" t="n"/>
      <c r="I44" s="486" t="n"/>
      <c r="J44" s="466" t="n"/>
      <c r="K44" s="2" t="n"/>
    </row>
    <row r="45">
      <c r="B45" s="27" t="inlineStr">
        <is>
          <t>③</t>
        </is>
      </c>
      <c r="C45" s="449" t="inlineStr">
        <is>
          <t>西→東</t>
        </is>
      </c>
      <c r="D45" s="485" t="inlineStr">
        <is>
          <t>③各ドライバーの位置からの帰社のタイミング・夕方の配置</t>
        </is>
      </c>
      <c r="E45" s="486" t="n"/>
      <c r="F45" s="486" t="n"/>
      <c r="G45" s="486" t="n"/>
      <c r="H45" s="486" t="n"/>
      <c r="I45" s="486" t="n"/>
      <c r="J45" s="466" t="n"/>
      <c r="K45" s="2" t="n"/>
    </row>
    <row r="46">
      <c r="B46" s="27" t="inlineStr">
        <is>
          <t>④</t>
        </is>
      </c>
      <c r="C46" s="449" t="inlineStr">
        <is>
          <t>西→西</t>
        </is>
      </c>
      <c r="D46" s="485" t="inlineStr">
        <is>
          <t>④依頼を受ける際の、希望時間と現状の位置。行けるか行けないかの判断をしっかりと。</t>
        </is>
      </c>
      <c r="E46" s="486" t="n"/>
      <c r="F46" s="486" t="n"/>
      <c r="G46" s="486" t="n"/>
      <c r="H46" s="486" t="n"/>
      <c r="I46" s="486" t="n"/>
      <c r="J46" s="466" t="n"/>
      <c r="K46" s="2" t="n"/>
    </row>
    <row r="47">
      <c r="D47" s="485" t="inlineStr">
        <is>
          <t>⑤軽に乗るか乗らないかの判断に気を付ける。</t>
        </is>
      </c>
      <c r="E47" s="486" t="n"/>
      <c r="F47" s="486" t="n"/>
      <c r="G47" s="486" t="n"/>
      <c r="H47" s="486" t="n"/>
      <c r="I47" s="486" t="n"/>
      <c r="J47" s="466" t="n"/>
      <c r="K47" s="2" t="n"/>
    </row>
    <row r="48">
      <c r="B48" s="22" t="n"/>
      <c r="C48" s="420" t="inlineStr">
        <is>
          <t>現状配置(予測)</t>
        </is>
      </c>
      <c r="D48" s="485" t="inlineStr">
        <is>
          <t>⑥18/1日、1.8/1人、3件/1人</t>
        </is>
      </c>
      <c r="E48" s="486" t="n"/>
      <c r="F48" s="486" t="n"/>
      <c r="G48" s="486" t="n"/>
      <c r="H48" s="486" t="n"/>
      <c r="I48" s="486" t="n"/>
      <c r="J48" s="466" t="n"/>
      <c r="K48" s="2" t="n"/>
    </row>
    <row r="49">
      <c r="B49" s="420" t="inlineStr">
        <is>
          <t>西(神戸西・弥栄台)</t>
        </is>
      </c>
      <c r="C49" s="420" t="n"/>
      <c r="D49" s="485" t="inlineStr">
        <is>
          <t>⑦依頼書の見落とし(日付、入替、入出庫、場所）</t>
        </is>
      </c>
      <c r="E49" s="486" t="n"/>
      <c r="F49" s="486" t="n"/>
      <c r="G49" s="486" t="n"/>
      <c r="H49" s="486" t="n"/>
      <c r="I49" s="486" t="n"/>
      <c r="J49" s="466" t="n"/>
      <c r="K49" s="2" t="n"/>
    </row>
    <row r="50">
      <c r="B50" s="420" t="inlineStr">
        <is>
          <t>真ん中(摩耶・中央)</t>
        </is>
      </c>
      <c r="C50" s="420" t="n"/>
      <c r="D50" s="485" t="inlineStr">
        <is>
          <t>⑧3ｔ車と2ｔ車への振り方(西と東に振り分ける)</t>
        </is>
      </c>
      <c r="E50" s="486" t="n"/>
      <c r="F50" s="486" t="n"/>
      <c r="G50" s="486" t="n"/>
      <c r="H50" s="486" t="n"/>
      <c r="I50" s="486" t="n"/>
      <c r="J50" s="466" t="n"/>
      <c r="K50" s="2" t="n"/>
    </row>
    <row r="51">
      <c r="B51" s="420" t="inlineStr">
        <is>
          <t>東(尼崎・伊丹・西宮)</t>
        </is>
      </c>
      <c r="C51" s="420" t="n"/>
      <c r="D51" s="485" t="inlineStr">
        <is>
          <t>⑨</t>
        </is>
      </c>
      <c r="E51" s="486" t="n"/>
      <c r="F51" s="486" t="n"/>
      <c r="G51" s="486" t="n"/>
      <c r="H51" s="486" t="n"/>
      <c r="I51" s="486" t="n"/>
      <c r="J51" s="466" t="n"/>
      <c r="K51" s="2" t="n"/>
    </row>
    <row r="52">
      <c r="B52" s="48" t="inlineStr">
        <is>
          <t>極東(港区・淀屋橋)</t>
        </is>
      </c>
      <c r="C52" s="420" t="n"/>
      <c r="D52" s="49" t="n"/>
      <c r="E52" s="49" t="n"/>
      <c r="F52" s="49" t="n"/>
      <c r="G52" s="49" t="n"/>
      <c r="H52" s="49" t="n"/>
      <c r="I52" s="49" t="n"/>
      <c r="J52" s="49" t="n"/>
      <c r="K52" s="2" t="n"/>
    </row>
    <row r="53" ht="14.25" customHeight="1" s="462" thickBot="1">
      <c r="K53" s="2" t="n"/>
    </row>
    <row r="54">
      <c r="C54" s="473" t="inlineStr">
        <is>
          <t>合計額/380</t>
        </is>
      </c>
      <c r="D54" s="358">
        <f>SUM(G54)</f>
        <v/>
      </c>
      <c r="F54" s="360" t="inlineStr">
        <is>
          <t>売り上げ額</t>
        </is>
      </c>
      <c r="G54" s="362">
        <f>SUM(SUM(K4:K20))+SUM(#REF!)</f>
        <v/>
      </c>
      <c r="H54" s="465" t="n"/>
      <c r="I54" s="465" t="n"/>
      <c r="J54" s="467" t="n"/>
      <c r="K54" s="2" t="n"/>
    </row>
    <row r="55" ht="14.25" customHeight="1" s="462" thickBot="1">
      <c r="C55" s="474" t="n"/>
      <c r="D55" s="475" t="n"/>
      <c r="F55" s="468" t="n"/>
      <c r="G55" s="476" t="n"/>
      <c r="H55" s="477" t="n"/>
      <c r="I55" s="477" t="n"/>
      <c r="J55" s="469" t="n"/>
      <c r="K55" s="2" t="n"/>
    </row>
    <row r="56">
      <c r="C56" s="478" t="inlineStr">
        <is>
          <t>前日までの売上合計額</t>
        </is>
      </c>
      <c r="D56" s="479">
        <f>SUM(B65)</f>
        <v/>
      </c>
      <c r="K56" s="2" t="n"/>
    </row>
    <row r="57" ht="14.25" customHeight="1" s="462" thickBot="1">
      <c r="C57" s="480" t="n"/>
      <c r="D57" s="480" t="n"/>
      <c r="F57" s="420" t="inlineStr">
        <is>
          <t>金井（55)</t>
        </is>
      </c>
      <c r="G57" s="345" t="n"/>
      <c r="H57" s="466" t="n"/>
      <c r="I57" s="130" t="n"/>
      <c r="K57" s="2" t="n"/>
    </row>
    <row r="58" ht="14.25" customHeight="1" s="462" thickTop="1">
      <c r="D58" s="346">
        <f>D54+D56</f>
        <v/>
      </c>
      <c r="F58" s="420" t="inlineStr">
        <is>
          <t>粟津(55)</t>
        </is>
      </c>
      <c r="G58" s="340" t="n"/>
      <c r="H58" s="466" t="n"/>
      <c r="I58" s="131" t="n"/>
      <c r="K58" s="2" t="n"/>
    </row>
    <row r="59">
      <c r="F59" s="420" t="inlineStr">
        <is>
          <t>砂川(50)</t>
        </is>
      </c>
      <c r="G59" s="340" t="n"/>
      <c r="H59" s="466" t="n"/>
      <c r="I59" s="131" t="n"/>
      <c r="K59" s="2" t="n"/>
    </row>
    <row r="60">
      <c r="C60" s="2" t="inlineStr">
        <is>
          <t>高代</t>
        </is>
      </c>
      <c r="F60" s="420" t="inlineStr">
        <is>
          <t>前川(50)</t>
        </is>
      </c>
      <c r="G60" s="340" t="n"/>
      <c r="H60" s="466" t="n"/>
      <c r="I60" s="131" t="n"/>
      <c r="K60" s="2" t="n"/>
    </row>
    <row r="61">
      <c r="C61" s="2" t="inlineStr">
        <is>
          <t>返還代</t>
        </is>
      </c>
      <c r="F61" s="420" t="inlineStr">
        <is>
          <t>佐藤(50)</t>
        </is>
      </c>
      <c r="G61" s="345" t="n"/>
      <c r="H61" s="466" t="n"/>
      <c r="I61" s="130" t="n"/>
      <c r="K61" s="2" t="n"/>
    </row>
    <row r="62">
      <c r="C62" s="2" t="inlineStr">
        <is>
          <t>回収率</t>
        </is>
      </c>
      <c r="D62" s="50">
        <f>D61/D60</f>
        <v/>
      </c>
      <c r="F62" s="420" t="inlineStr">
        <is>
          <t>末次(55)</t>
        </is>
      </c>
      <c r="G62" s="340" t="n"/>
      <c r="H62" s="466" t="n"/>
      <c r="I62" s="131" t="n"/>
      <c r="K62" s="2" t="n"/>
    </row>
    <row r="63">
      <c r="C63" s="2" t="inlineStr">
        <is>
          <t>費</t>
        </is>
      </c>
      <c r="D63" s="2">
        <f>D60-D61</f>
        <v/>
      </c>
      <c r="F63" s="420" t="inlineStr">
        <is>
          <t>筒井(75)</t>
        </is>
      </c>
      <c r="G63" s="340" t="n"/>
      <c r="H63" s="466" t="n"/>
      <c r="I63" s="131" t="n"/>
      <c r="K63" s="2" t="n"/>
    </row>
    <row r="64">
      <c r="F64" s="420" t="inlineStr">
        <is>
          <t>山岸(40)</t>
        </is>
      </c>
      <c r="G64" s="340" t="n"/>
      <c r="H64" s="466" t="n"/>
      <c r="I64" s="131" t="n"/>
      <c r="K64" s="2" t="n"/>
    </row>
    <row r="65" ht="17.25" customHeight="1" s="462">
      <c r="B65" s="71" t="n"/>
      <c r="F65" s="420" t="inlineStr">
        <is>
          <t>多苗(30)</t>
        </is>
      </c>
      <c r="G65" s="340" t="n"/>
      <c r="H65" s="466" t="n"/>
      <c r="I65" s="131" t="n"/>
      <c r="K65" s="2" t="n"/>
      <c r="L65" s="2" t="inlineStr">
        <is>
          <t> </t>
        </is>
      </c>
    </row>
    <row r="66">
      <c r="K66" s="2" t="n"/>
    </row>
    <row r="67">
      <c r="K67" s="2" t="n"/>
    </row>
    <row r="69" ht="23.25" customHeight="1" s="462"/>
  </sheetData>
  <mergeCells count="53">
    <mergeCell ref="Q16:R16"/>
    <mergeCell ref="G59:H59"/>
    <mergeCell ref="Q3:R3"/>
    <mergeCell ref="E24:F24"/>
    <mergeCell ref="E23:F23"/>
    <mergeCell ref="G61:H61"/>
    <mergeCell ref="C54:C55"/>
    <mergeCell ref="E39:F39"/>
    <mergeCell ref="D51:J51"/>
    <mergeCell ref="H23:J24"/>
    <mergeCell ref="B2:C2"/>
    <mergeCell ref="H25:J26"/>
    <mergeCell ref="D50:J50"/>
    <mergeCell ref="E29:F29"/>
    <mergeCell ref="D44:J44"/>
    <mergeCell ref="Q5:R5"/>
    <mergeCell ref="Q20:R20"/>
    <mergeCell ref="C56:C57"/>
    <mergeCell ref="D56:D57"/>
    <mergeCell ref="Q14:R14"/>
    <mergeCell ref="E28:F28"/>
    <mergeCell ref="G57:H57"/>
    <mergeCell ref="G62:H62"/>
    <mergeCell ref="E40:F40"/>
    <mergeCell ref="E31:F31"/>
    <mergeCell ref="Q4:R4"/>
    <mergeCell ref="D46:J46"/>
    <mergeCell ref="E30:F30"/>
    <mergeCell ref="K23:K24"/>
    <mergeCell ref="Q15:R15"/>
    <mergeCell ref="D45:J45"/>
    <mergeCell ref="E27:F27"/>
    <mergeCell ref="G58:H58"/>
    <mergeCell ref="G65:H65"/>
    <mergeCell ref="E36:F36"/>
    <mergeCell ref="G54:J55"/>
    <mergeCell ref="E26:F26"/>
    <mergeCell ref="D49:J49"/>
    <mergeCell ref="D58:D59"/>
    <mergeCell ref="G64:H64"/>
    <mergeCell ref="D54:D55"/>
    <mergeCell ref="K28:K29"/>
    <mergeCell ref="Q17:R17"/>
    <mergeCell ref="D48:J48"/>
    <mergeCell ref="E25:F25"/>
    <mergeCell ref="K25:K26"/>
    <mergeCell ref="G63:H63"/>
    <mergeCell ref="D47:J47"/>
    <mergeCell ref="E37:F37"/>
    <mergeCell ref="G60:H60"/>
    <mergeCell ref="F54:F55"/>
    <mergeCell ref="H28:J29"/>
    <mergeCell ref="D43:J43"/>
  </mergeCells>
  <conditionalFormatting sqref="L3:L20">
    <cfRule type="cellIs" priority="3" operator="greaterThan" dxfId="0">
      <formula>30</formula>
    </cfRule>
  </conditionalFormatting>
  <conditionalFormatting sqref="K25:K26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8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56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R91"/>
  <sheetViews>
    <sheetView topLeftCell="A25" zoomScaleNormal="100" workbookViewId="0">
      <selection activeCell="H32" sqref="H32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6384"/>
  </cols>
  <sheetData>
    <row r="1"/>
    <row r="2" ht="15" customHeight="1" s="462" thickBot="1">
      <c r="B2" s="493" t="n">
        <v>46195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inlineStr">
        <is>
          <t>333：夕方弘盛モータース</t>
        </is>
      </c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 t="n"/>
      <c r="B6" s="57" t="n"/>
      <c r="C6" s="441" t="n"/>
      <c r="D6" s="63" t="n"/>
      <c r="E6" s="441" t="n"/>
      <c r="F6" s="57" t="n"/>
      <c r="G6" s="59" t="n"/>
      <c r="H6" s="438" t="n"/>
      <c r="I6" s="295">
        <f>IFERROR(_xlfn.XLOOKUP(H6,案件・ドライバー一覧!$L$3:$L$17,案件・ドライバー一覧!$M$3:$M$17,""),"")</f>
        <v/>
      </c>
      <c r="J6" s="57" t="n"/>
      <c r="K6" s="72" t="n"/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441" t="n"/>
      <c r="D7" s="63" t="n"/>
      <c r="E7" s="441" t="n"/>
      <c r="F7" s="57" t="n"/>
      <c r="G7" s="68" t="n"/>
      <c r="H7" s="438" t="n"/>
      <c r="I7" s="295">
        <f>IFERROR(_xlfn.XLOOKUP(H7,案件・ドライバー一覧!$L$3:$L$17,案件・ドライバー一覧!$M$3:$M$17,""),"")</f>
        <v/>
      </c>
      <c r="J7" s="57" t="n"/>
      <c r="K7" s="73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</row>
    <row r="8" ht="27" customHeight="1" s="462">
      <c r="A8" s="423">
        <f>IF(B8="","",COUNTA($B$5:B8))</f>
        <v/>
      </c>
      <c r="B8" s="57" t="n"/>
      <c r="C8" s="64" t="n"/>
      <c r="D8" s="63" t="n"/>
      <c r="E8" s="441" t="n"/>
      <c r="F8" s="57" t="n"/>
      <c r="G8" s="59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4" t="n"/>
      <c r="D9" s="441" t="n"/>
      <c r="E9" s="441" t="n"/>
      <c r="F9" s="57" t="n"/>
      <c r="G9" s="59" t="n"/>
      <c r="H9" s="438" t="n"/>
      <c r="I9" s="295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438" t="n"/>
      <c r="I10" s="296">
        <f>IFERROR(_xlfn.XLOOKUP(H10,案件・ドライバー一覧!$L$3:$L$17,案件・ドライバー一覧!$M$3:$M$17,""),"")</f>
        <v/>
      </c>
      <c r="J10" s="420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16.5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427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 t="n"/>
      <c r="B18" s="57" t="n"/>
      <c r="C18" s="63" t="n"/>
      <c r="D18" s="441" t="n"/>
      <c r="E18" s="441" t="n"/>
      <c r="F18" s="57" t="n"/>
      <c r="G18" s="65" t="n"/>
      <c r="H18" s="438" t="n"/>
      <c r="I18" s="427" t="n"/>
      <c r="J18" s="57" t="n"/>
      <c r="K18" s="72" t="n"/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438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27" customHeight="1" s="462">
      <c r="A20" s="423">
        <f>IF(B20="","",COUNTA($B$5:B20))</f>
        <v/>
      </c>
      <c r="B20" s="57" t="n"/>
      <c r="C20" s="63" t="n"/>
      <c r="D20" s="441" t="n"/>
      <c r="E20" s="441" t="n"/>
      <c r="F20" s="57" t="n"/>
      <c r="G20" s="65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441" t="n"/>
      <c r="D21" s="441" t="n"/>
      <c r="E21" s="441" t="n"/>
      <c r="F21" s="57" t="n"/>
      <c r="G21" s="65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  <c r="R21" s="449" t="n"/>
    </row>
    <row r="22" ht="28.5" customHeight="1" s="462">
      <c r="A22" s="423">
        <f>IF(B22="","",COUNTA($B$5:B22))</f>
        <v/>
      </c>
      <c r="B22" s="57" t="n"/>
      <c r="C22" s="64" t="n"/>
      <c r="D22" s="441" t="n"/>
      <c r="E22" s="63" t="n"/>
      <c r="F22" s="441" t="n"/>
      <c r="G22" s="59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  <c r="R25" s="449" t="n"/>
    </row>
    <row r="26" ht="27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  <c r="R27" s="449" t="n"/>
    </row>
    <row r="28" ht="15.75" customHeight="1" s="462">
      <c r="A28" s="423">
        <f>IF(B28="","",COUNTA($B$5:B28))</f>
        <v/>
      </c>
      <c r="B28" s="57" t="n"/>
      <c r="C28" s="63" t="n"/>
      <c r="D28" s="441" t="n"/>
      <c r="E28" s="441" t="n"/>
      <c r="F28" s="57" t="n"/>
      <c r="G28" s="65" t="n"/>
      <c r="H28" s="438" t="n"/>
      <c r="I28" s="427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  <c r="R28" s="449" t="n"/>
    </row>
    <row r="29" ht="27" customHeight="1" s="462">
      <c r="A29" s="423">
        <f>IF(B29="","",COUNTA($B$5:B29))</f>
        <v/>
      </c>
      <c r="B29" s="57" t="n"/>
      <c r="C29" s="63" t="n"/>
      <c r="D29" s="441" t="n"/>
      <c r="E29" s="441" t="n"/>
      <c r="F29" s="57" t="n"/>
      <c r="G29" s="65" t="n"/>
      <c r="H29" s="438" t="n"/>
      <c r="I29" s="427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  <c r="R29" s="449" t="n"/>
    </row>
    <row r="30" ht="27" customHeight="1" s="462">
      <c r="A30" s="423" t="n"/>
      <c r="B30" s="57" t="n"/>
      <c r="C30" s="63" t="n"/>
      <c r="D30" s="441" t="n"/>
      <c r="E30" s="441" t="n"/>
      <c r="F30" s="57" t="n"/>
      <c r="G30" s="65" t="n"/>
      <c r="H30" s="438" t="n"/>
      <c r="I30" s="427" t="n"/>
      <c r="J30" s="57" t="n"/>
      <c r="K30" s="72" t="n"/>
      <c r="L30" s="61" t="n"/>
      <c r="M30" s="449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IF(B31="","",COUNTA($B$5:B31))</f>
        <v/>
      </c>
      <c r="B31" s="57" t="n"/>
      <c r="C31" s="62" t="n"/>
      <c r="D31" s="63" t="n"/>
      <c r="E31" s="441" t="n"/>
      <c r="F31" s="57" t="n"/>
      <c r="G31" s="66" t="n"/>
      <c r="H31" s="438" t="n"/>
      <c r="I31" s="427" t="n"/>
      <c r="J31" s="57" t="n"/>
      <c r="K31" s="73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  <c r="O31" s="449" t="n"/>
      <c r="P31" s="449" t="n"/>
      <c r="Q31" s="449" t="n"/>
    </row>
    <row r="32" ht="27" customHeight="1" s="462">
      <c r="A32" s="423">
        <f>IF(B32="","",COUNTA($B$5:B32))</f>
        <v/>
      </c>
      <c r="B32" s="57" t="n"/>
      <c r="C32" s="63" t="n"/>
      <c r="D32" s="64" t="n"/>
      <c r="E32" s="63" t="n"/>
      <c r="F32" s="57" t="n"/>
      <c r="G32" s="247" t="n"/>
      <c r="H32" s="438" t="n"/>
      <c r="I32" s="438" t="n"/>
      <c r="J32" s="420" t="n"/>
      <c r="K32" s="73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M32" s="449" t="n"/>
      <c r="N32" s="449" t="n"/>
      <c r="O32" s="449" t="n"/>
      <c r="P32" s="449" t="n"/>
      <c r="Q32" s="449" t="n"/>
    </row>
    <row r="33" ht="27" customHeight="1" s="462">
      <c r="A33" s="423">
        <f>IF(B33="","",COUNTA($B$5:B33))</f>
        <v/>
      </c>
      <c r="B33" s="57" t="n"/>
      <c r="C33" s="63" t="n"/>
      <c r="D33" s="64" t="n"/>
      <c r="E33" s="57" t="n"/>
      <c r="F33" s="57" t="n"/>
      <c r="G33" s="66" t="n"/>
      <c r="H33" s="438" t="n"/>
      <c r="I33" s="427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  <c r="O33" s="449" t="n"/>
      <c r="P33" s="449" t="n"/>
      <c r="Q33" s="449" t="n"/>
      <c r="R33" s="449" t="n"/>
    </row>
    <row r="34" ht="27" customHeight="1" s="462">
      <c r="A34" s="423">
        <f>IF(B34="","",COUNTA($B$5:B34))</f>
        <v/>
      </c>
      <c r="B34" s="57" t="n"/>
      <c r="C34" s="420" t="n"/>
      <c r="D34" s="63" t="n"/>
      <c r="E34" s="441" t="n"/>
      <c r="F34" s="57" t="n"/>
      <c r="G34" s="65" t="n"/>
      <c r="H34" s="438" t="n"/>
      <c r="I34" s="427" t="n"/>
      <c r="J34" s="57" t="n"/>
      <c r="K34" s="72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M34" s="449" t="n"/>
      <c r="N34" s="449" t="n"/>
      <c r="O34" s="449" t="n"/>
      <c r="P34" s="449" t="n"/>
      <c r="Q34" s="449" t="n"/>
    </row>
    <row r="35" ht="27" customHeight="1" s="462">
      <c r="A35" s="423">
        <f>IF(B35="","",COUNTA($B$5:B35))</f>
        <v/>
      </c>
      <c r="B35" s="57" t="n"/>
      <c r="C35" s="57" t="n"/>
      <c r="D35" s="441" t="n"/>
      <c r="E35" s="441" t="n"/>
      <c r="F35" s="57" t="n"/>
      <c r="G35" s="66" t="n"/>
      <c r="H35" s="438" t="n"/>
      <c r="I35" s="427" t="n"/>
      <c r="J35" s="57" t="n"/>
      <c r="K35" s="7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M35" s="449" t="n"/>
      <c r="N35" s="449" t="n"/>
      <c r="O35" s="449" t="n"/>
      <c r="P35" s="449" t="n"/>
      <c r="Q35" s="449" t="n"/>
    </row>
    <row r="36" ht="27.75" customHeight="1" s="462">
      <c r="A36" s="423">
        <f>IF(B36="","",COUNTA($B$5:B36))</f>
        <v/>
      </c>
      <c r="B36" s="441" t="n"/>
      <c r="C36" s="440" t="n"/>
      <c r="D36" s="441" t="n"/>
      <c r="E36" s="440" t="n"/>
      <c r="F36" s="57" t="n"/>
      <c r="G36" s="65" t="n"/>
      <c r="H36" s="438" t="n"/>
      <c r="I36" s="438" t="n"/>
      <c r="J36" s="420" t="n"/>
      <c r="K36" s="72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M36" s="449" t="n"/>
      <c r="N36" s="449" t="n"/>
      <c r="O36" s="449" t="n"/>
      <c r="P36" s="449" t="n"/>
      <c r="Q36" s="449" t="n"/>
    </row>
    <row r="37" ht="27" customHeight="1" s="462">
      <c r="A37" s="423">
        <f>IF(B37="","",COUNTA($B$5:B37))</f>
        <v/>
      </c>
      <c r="B37" s="441" t="n"/>
      <c r="C37" s="63" t="n"/>
      <c r="D37" s="440" t="n"/>
      <c r="E37" s="441" t="n"/>
      <c r="F37" s="57" t="n"/>
      <c r="G37" s="59" t="n"/>
      <c r="H37" s="438" t="n"/>
      <c r="I37" s="427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M37" s="449" t="n"/>
      <c r="N37" s="449" t="n"/>
      <c r="O37" s="449" t="n"/>
      <c r="P37" s="449" t="n"/>
      <c r="Q37" s="449" t="n"/>
    </row>
    <row r="38" ht="27" customHeight="1" s="462">
      <c r="A38" s="423" t="n"/>
      <c r="B38" s="441" t="n"/>
      <c r="C38" s="63" t="n"/>
      <c r="D38" s="440" t="n"/>
      <c r="E38" s="441" t="n"/>
      <c r="F38" s="57" t="n"/>
      <c r="G38" s="59" t="n"/>
      <c r="H38" s="438" t="n"/>
      <c r="I38" s="427" t="n"/>
      <c r="J38" s="57" t="n"/>
      <c r="K38" s="73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M38" s="449" t="n"/>
      <c r="N38" s="449" t="n"/>
      <c r="O38" s="449" t="n"/>
      <c r="P38" s="449" t="n"/>
      <c r="Q38" s="449" t="n"/>
      <c r="R38" s="449" t="n"/>
    </row>
    <row r="39" ht="27" customHeight="1" s="462">
      <c r="A39" s="423">
        <f>IF(B39="","",COUNTA($B$5:B39))</f>
        <v/>
      </c>
      <c r="B39" s="441" t="n"/>
      <c r="C39" s="63" t="n"/>
      <c r="D39" s="440" t="n"/>
      <c r="E39" s="441" t="n"/>
      <c r="F39" s="57" t="n"/>
      <c r="G39" s="59" t="n"/>
      <c r="H39" s="438" t="n"/>
      <c r="I39" s="427" t="n"/>
      <c r="J39" s="57" t="n"/>
      <c r="K39" s="73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M39" s="449" t="n"/>
      <c r="N39" s="449" t="n"/>
      <c r="O39" s="449" t="n"/>
      <c r="P39" s="449" t="n"/>
      <c r="Q39" s="449" t="n"/>
      <c r="R39" s="449" t="n"/>
    </row>
    <row r="40" ht="14.25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74" t="n"/>
      <c r="I40" s="80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M40" s="449" t="n"/>
      <c r="N40" s="449" t="n"/>
      <c r="O40" s="449" t="n"/>
      <c r="P40" s="449" t="n"/>
      <c r="Q40" s="449" t="n"/>
      <c r="R40" s="449" t="n"/>
    </row>
    <row r="41" ht="27" customHeight="1" s="462">
      <c r="A41" s="423">
        <f>IF(B41="","",COUNTA($B$5:B41))</f>
        <v/>
      </c>
      <c r="B41" s="420" t="n"/>
      <c r="C41" s="63" t="n"/>
      <c r="D41" s="420" t="n"/>
      <c r="E41" s="443" t="n"/>
      <c r="F41" s="420" t="n"/>
      <c r="G41" s="69" t="n"/>
      <c r="H41" s="74" t="n"/>
      <c r="I41" s="74" t="n"/>
      <c r="J41" s="420" t="n"/>
      <c r="K41" s="22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M41" s="449" t="n"/>
      <c r="N41" s="449" t="n"/>
      <c r="O41" s="449" t="n"/>
      <c r="P41" s="449" t="n"/>
      <c r="Q41" s="449" t="n"/>
    </row>
    <row r="42" ht="27" customHeight="1" s="462">
      <c r="A42" s="423">
        <f>IF(B42="","",COUNTA($B$5:B42))</f>
        <v/>
      </c>
      <c r="B42" s="441" t="n"/>
      <c r="C42" s="63" t="n"/>
      <c r="D42" s="440" t="n"/>
      <c r="E42" s="441" t="n"/>
      <c r="F42" s="57" t="n"/>
      <c r="G42" s="59" t="n"/>
      <c r="H42" s="60" t="n"/>
      <c r="I42" s="60" t="n"/>
      <c r="J42" s="57" t="n"/>
      <c r="K42" s="73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61" t="n"/>
      <c r="M42" s="449" t="n"/>
      <c r="N42" s="449" t="n"/>
      <c r="O42" s="449" t="n"/>
      <c r="P42" s="449" t="n"/>
      <c r="Q42" s="449" t="n"/>
      <c r="R42" s="449" t="n"/>
    </row>
    <row r="43" ht="27" customHeight="1" s="462">
      <c r="A43" s="423">
        <f>IF(B43="","",COUNTA($B$5:B43))</f>
        <v/>
      </c>
      <c r="B43" s="441" t="n"/>
      <c r="C43" s="63" t="n"/>
      <c r="D43" s="440" t="n"/>
      <c r="E43" s="441" t="n"/>
      <c r="F43" s="57" t="n"/>
      <c r="G43" s="59" t="n"/>
      <c r="H43" s="60" t="n"/>
      <c r="I43" s="60" t="n"/>
      <c r="J43" s="57" t="n"/>
      <c r="K43" s="73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61" t="n"/>
      <c r="M43" s="449" t="n"/>
      <c r="N43" s="449" t="n"/>
      <c r="O43" s="449" t="n"/>
      <c r="P43" s="449" t="n"/>
      <c r="Q43" s="449" t="n"/>
      <c r="R43" s="449" t="n"/>
    </row>
    <row r="44" ht="27" customHeight="1" s="462">
      <c r="A44" s="423">
        <f>IF(B44="","",COUNTA($B$5:B44))</f>
        <v/>
      </c>
      <c r="B44" s="420" t="n"/>
      <c r="C44" s="420" t="n"/>
      <c r="D44" s="420" t="n"/>
      <c r="E44" s="420" t="n"/>
      <c r="F44" s="420" t="n"/>
      <c r="G44" s="69" t="n"/>
      <c r="H44" s="70" t="n"/>
      <c r="I44" s="70" t="n"/>
      <c r="J44" s="420" t="n"/>
      <c r="K44" s="22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61" t="n"/>
      <c r="M44" s="449" t="n"/>
      <c r="N44" s="449" t="n"/>
      <c r="O44" s="449" t="n"/>
      <c r="P44" s="449" t="n"/>
      <c r="Q44" s="449" t="n"/>
    </row>
    <row r="45">
      <c r="B45" s="18" t="n"/>
      <c r="C45" s="18" t="n"/>
      <c r="D45" s="18" t="n"/>
      <c r="E45" s="18" t="n"/>
      <c r="F45" s="18" t="n"/>
      <c r="G45" s="19" t="n"/>
      <c r="H45" s="33" t="n"/>
      <c r="I45" s="18" t="n"/>
      <c r="J45" s="18" t="n"/>
      <c r="K45" s="18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4.25" customHeight="1" s="462" thickBot="1">
      <c r="K46" s="2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>
      <c r="B47" s="22" t="n"/>
      <c r="C47" s="25" t="n"/>
      <c r="D47" s="25" t="inlineStr">
        <is>
          <t>現在待機場所</t>
        </is>
      </c>
      <c r="E47" s="25" t="inlineStr">
        <is>
          <t>待機予定場所</t>
        </is>
      </c>
      <c r="F47" s="466" t="n"/>
      <c r="H47" s="375" t="inlineStr">
        <is>
          <t>目標距離</t>
        </is>
      </c>
      <c r="I47" s="465" t="n"/>
      <c r="J47" s="467" t="n"/>
      <c r="K47" s="377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4.25" customHeight="1" s="462" thickBot="1">
      <c r="B48" s="26" t="inlineStr">
        <is>
          <t>2(255)</t>
        </is>
      </c>
      <c r="C48" s="21" t="inlineStr">
        <is>
          <t>山岸</t>
        </is>
      </c>
      <c r="D48" s="34" t="n"/>
      <c r="E48" s="34" t="n"/>
      <c r="F48" s="466" t="n"/>
      <c r="H48" s="468" t="n"/>
      <c r="I48" s="477" t="n"/>
      <c r="J48" s="469" t="n"/>
      <c r="K48" s="470" t="n"/>
    </row>
    <row r="49">
      <c r="B49" s="26" t="inlineStr">
        <is>
          <t>8(254)</t>
        </is>
      </c>
      <c r="C49" s="21" t="inlineStr">
        <is>
          <t>砂川</t>
        </is>
      </c>
      <c r="D49" s="35" t="n"/>
      <c r="E49" s="35" t="n"/>
      <c r="F49" s="466" t="n"/>
      <c r="H49" s="368" t="inlineStr">
        <is>
          <t>残距離</t>
        </is>
      </c>
      <c r="J49" s="471" t="n"/>
      <c r="K49" s="354">
        <f t="array" ref="K49">IF(OR(H49="",L49=""),"",IFERROR(_xlfn.LET(_xlpm.vt,VLOOKUP(IFERROR(VALUE(LEFT(H49,FIND("＊",H49&amp;"＊")-1)),H49),運賃マスター!$A$22:$B$40,2,FALSE),_xlpm.d,L49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50" ht="14.25" customHeight="1" s="462" thickBot="1">
      <c r="B50" s="26" t="inlineStr">
        <is>
          <t>9(256)</t>
        </is>
      </c>
      <c r="C50" s="21" t="inlineStr">
        <is>
          <t>前川</t>
        </is>
      </c>
      <c r="D50" s="35" t="n"/>
      <c r="E50" s="35" t="n"/>
      <c r="F50" s="466" t="n"/>
      <c r="H50" s="468" t="n"/>
      <c r="I50" s="477" t="n"/>
      <c r="J50" s="469" t="n"/>
      <c r="K50" s="472" t="n"/>
    </row>
    <row r="51" ht="14.25" customHeight="1" s="462" thickBot="1">
      <c r="B51" s="26" t="inlineStr">
        <is>
          <t>10(257)</t>
        </is>
      </c>
      <c r="C51" s="35" t="n"/>
      <c r="D51" s="35" t="n"/>
      <c r="E51" s="35" t="n"/>
      <c r="F51" s="466" t="n"/>
      <c r="K51" s="2" t="n"/>
    </row>
    <row r="52">
      <c r="B52" s="26" t="inlineStr">
        <is>
          <t>11(258)</t>
        </is>
      </c>
      <c r="C52" s="21" t="inlineStr">
        <is>
          <t>郡司</t>
        </is>
      </c>
      <c r="D52" s="35" t="n"/>
      <c r="E52" s="35" t="n"/>
      <c r="F52" s="466" t="n"/>
      <c r="H52" s="350" t="inlineStr">
        <is>
          <t>依頼件数</t>
        </is>
      </c>
      <c r="I52" s="465" t="n"/>
      <c r="J52" s="467" t="n"/>
      <c r="K52" s="354">
        <f>SUM(P3:P44)+SUM(SUM(#REF!))</f>
        <v/>
      </c>
    </row>
    <row r="53" ht="14.25" customHeight="1" s="462" thickBot="1">
      <c r="B53" s="26" t="inlineStr">
        <is>
          <t>12(736)</t>
        </is>
      </c>
      <c r="C53" s="21" t="n"/>
      <c r="D53" s="35" t="n"/>
      <c r="E53" s="35" t="n"/>
      <c r="F53" s="466" t="n"/>
      <c r="H53" s="468" t="n"/>
      <c r="I53" s="477" t="n"/>
      <c r="J53" s="469" t="n"/>
      <c r="K53" s="472" t="n"/>
    </row>
    <row r="54" ht="16.5" customHeight="1" s="462">
      <c r="B54" s="26" t="inlineStr">
        <is>
          <t>13(737)</t>
        </is>
      </c>
      <c r="C54" s="21" t="n"/>
      <c r="D54" s="35" t="n"/>
      <c r="E54" s="35" t="n"/>
      <c r="F54" s="466" t="n"/>
      <c r="H54" s="38" t="n"/>
      <c r="I54" s="38" t="n"/>
      <c r="J54" s="38" t="n"/>
      <c r="K54" s="39" t="n"/>
    </row>
    <row r="55" ht="16.5" customHeight="1" s="462">
      <c r="B55" s="40" t="inlineStr">
        <is>
          <t>14(738)</t>
        </is>
      </c>
      <c r="C55" s="21" t="inlineStr">
        <is>
          <t>辻井</t>
        </is>
      </c>
      <c r="D55" s="35" t="n"/>
      <c r="E55" s="35" t="n"/>
      <c r="F55" s="466" t="n"/>
      <c r="H55" s="38" t="n"/>
      <c r="I55" s="38" t="n"/>
      <c r="J55" s="38" t="n"/>
      <c r="K55" s="39" t="n"/>
    </row>
    <row r="56" ht="8.25" customHeight="1" s="462">
      <c r="B56" s="41" t="n"/>
      <c r="C56" s="42" t="n"/>
      <c r="D56" s="43" t="n"/>
      <c r="E56" s="44" t="n"/>
      <c r="F56" s="349" t="n"/>
      <c r="H56" s="38" t="n"/>
      <c r="I56" s="38" t="n"/>
      <c r="J56" s="38" t="n"/>
      <c r="K56" s="39" t="n"/>
    </row>
    <row r="57" ht="17.25" customHeight="1" s="462">
      <c r="B57" s="45" t="n">
        <v>7290</v>
      </c>
      <c r="C57" s="21" t="inlineStr">
        <is>
          <t>佐藤</t>
        </is>
      </c>
      <c r="D57" s="35" t="n"/>
      <c r="E57" s="348" t="n"/>
      <c r="F57" s="349" t="n"/>
      <c r="H57" s="38" t="n"/>
      <c r="I57" s="38" t="n"/>
      <c r="J57" s="38" t="n"/>
      <c r="K57" s="39" t="n"/>
    </row>
    <row r="58" ht="17.25" customHeight="1" s="462">
      <c r="B58" s="45" t="n">
        <v>7291</v>
      </c>
      <c r="C58" s="21" t="inlineStr">
        <is>
          <t>末次</t>
        </is>
      </c>
      <c r="D58" s="35" t="n"/>
      <c r="E58" s="348" t="n"/>
      <c r="F58" s="349" t="n"/>
      <c r="H58" s="38" t="n"/>
      <c r="I58" s="38" t="n"/>
      <c r="J58" s="38" t="n"/>
      <c r="K58" s="39" t="n"/>
    </row>
    <row r="59" ht="9" customHeight="1" s="462">
      <c r="B59" s="41" t="n"/>
      <c r="C59" s="42" t="n"/>
      <c r="D59" s="44" t="n"/>
      <c r="E59" s="44" t="n"/>
      <c r="F59" s="349" t="n"/>
      <c r="H59" s="38" t="n"/>
      <c r="I59" s="38" t="n"/>
      <c r="J59" s="38" t="n"/>
      <c r="K59" s="39" t="n"/>
    </row>
    <row r="60" ht="16.5" customHeight="1" s="462">
      <c r="B60" s="45" t="n">
        <v>333</v>
      </c>
      <c r="C60" s="21" t="inlineStr">
        <is>
          <t>金井/奥田</t>
        </is>
      </c>
      <c r="D60" s="35" t="n"/>
      <c r="E60" s="484" t="n"/>
      <c r="F60" s="469" t="n"/>
      <c r="H60" s="38" t="n"/>
      <c r="I60" s="38" t="n"/>
      <c r="J60" s="38" t="n"/>
      <c r="K60" s="39" t="n"/>
    </row>
    <row r="61" ht="16.5" customHeight="1" s="462">
      <c r="B61" s="46" t="n">
        <v>666</v>
      </c>
      <c r="C61" s="21" t="inlineStr">
        <is>
          <t>徳留</t>
        </is>
      </c>
      <c r="D61" s="35" t="n"/>
      <c r="E61" s="35" t="n"/>
      <c r="F61" s="466" t="n"/>
      <c r="H61" s="38" t="n"/>
      <c r="I61" s="38" t="n"/>
      <c r="J61" s="38" t="n"/>
      <c r="K61" s="39" t="n"/>
    </row>
    <row r="62" ht="16.5" customHeight="1" s="462">
      <c r="B62" s="46" t="n">
        <v>777</v>
      </c>
      <c r="C62" s="21" t="n"/>
      <c r="D62" s="35" t="n"/>
      <c r="E62" s="348" t="n"/>
      <c r="F62" s="349" t="n"/>
      <c r="H62" s="38" t="n"/>
      <c r="I62" s="38" t="n"/>
      <c r="J62" s="38" t="n"/>
      <c r="K62" s="39" t="n"/>
    </row>
    <row r="63" ht="16.5" customHeight="1" s="462">
      <c r="B63" s="47" t="n">
        <v>330</v>
      </c>
      <c r="C63" s="21" t="n"/>
      <c r="D63" s="35" t="n"/>
      <c r="E63" s="35" t="n"/>
      <c r="F63" s="466" t="n"/>
      <c r="H63" s="38" t="n"/>
      <c r="I63" s="38" t="n"/>
      <c r="J63" s="38" t="n"/>
      <c r="K63" s="39" t="n"/>
    </row>
    <row r="64" ht="16.5" customHeight="1" s="462">
      <c r="B64" s="47" t="n">
        <v>990</v>
      </c>
      <c r="C64" s="21" t="inlineStr">
        <is>
          <t>山原</t>
        </is>
      </c>
      <c r="D64" s="35" t="n"/>
      <c r="E64" s="35" t="n"/>
      <c r="F64" s="466" t="n"/>
      <c r="H64" s="38" t="n"/>
      <c r="I64" s="38" t="n"/>
      <c r="J64" s="38" t="n"/>
      <c r="K64" s="39" t="n"/>
    </row>
    <row r="65">
      <c r="K65" s="2" t="n"/>
    </row>
    <row r="66">
      <c r="C66" s="449" t="inlineStr">
        <is>
          <t>出発→到着</t>
        </is>
      </c>
      <c r="D66" s="420" t="inlineStr">
        <is>
          <t>備考</t>
        </is>
      </c>
      <c r="K66" s="2" t="n"/>
    </row>
    <row r="67">
      <c r="B67" s="27" t="inlineStr">
        <is>
          <t>①</t>
        </is>
      </c>
      <c r="C67" s="449" t="inlineStr">
        <is>
          <t>東→西</t>
        </is>
      </c>
      <c r="D67" s="485" t="inlineStr">
        <is>
          <t>①Aチーム優先</t>
        </is>
      </c>
      <c r="E67" s="486" t="n"/>
      <c r="F67" s="486" t="n"/>
      <c r="G67" s="486" t="n"/>
      <c r="H67" s="486" t="n"/>
      <c r="I67" s="486" t="n"/>
      <c r="J67" s="466" t="n"/>
      <c r="K67" s="2" t="n"/>
    </row>
    <row r="68">
      <c r="B68" s="27" t="inlineStr">
        <is>
          <t>②</t>
        </is>
      </c>
      <c r="C68" s="449" t="inlineStr">
        <is>
          <t>東→東</t>
        </is>
      </c>
      <c r="D68" s="485" t="inlineStr">
        <is>
          <t>②急ぎ案件の場合、道路状況も伝えてあげる。</t>
        </is>
      </c>
      <c r="E68" s="486" t="n"/>
      <c r="F68" s="486" t="n"/>
      <c r="G68" s="486" t="n"/>
      <c r="H68" s="486" t="n"/>
      <c r="I68" s="486" t="n"/>
      <c r="J68" s="466" t="n"/>
      <c r="K68" s="2" t="n"/>
    </row>
    <row r="69">
      <c r="B69" s="27" t="inlineStr">
        <is>
          <t>③</t>
        </is>
      </c>
      <c r="C69" s="449" t="inlineStr">
        <is>
          <t>西→東</t>
        </is>
      </c>
      <c r="D69" s="485" t="inlineStr">
        <is>
          <t>③各ドライバーの位置からの帰社のタイミング・夕方の配置</t>
        </is>
      </c>
      <c r="E69" s="486" t="n"/>
      <c r="F69" s="486" t="n"/>
      <c r="G69" s="486" t="n"/>
      <c r="H69" s="486" t="n"/>
      <c r="I69" s="486" t="n"/>
      <c r="J69" s="466" t="n"/>
      <c r="K69" s="2" t="n"/>
    </row>
    <row r="70">
      <c r="B70" s="27" t="inlineStr">
        <is>
          <t>④</t>
        </is>
      </c>
      <c r="C70" s="449" t="inlineStr">
        <is>
          <t>西→西</t>
        </is>
      </c>
      <c r="D70" s="485" t="inlineStr">
        <is>
          <t>④依頼を受ける際の、希望時間と現状の位置。行けるか行けないかの判断をしっかりと。</t>
        </is>
      </c>
      <c r="E70" s="486" t="n"/>
      <c r="F70" s="486" t="n"/>
      <c r="G70" s="486" t="n"/>
      <c r="H70" s="486" t="n"/>
      <c r="I70" s="486" t="n"/>
      <c r="J70" s="466" t="n"/>
      <c r="K70" s="2" t="n"/>
    </row>
    <row r="71">
      <c r="D71" s="485" t="inlineStr">
        <is>
          <t>⑤軽に乗るか乗らないかの判断に気を付ける。</t>
        </is>
      </c>
      <c r="E71" s="486" t="n"/>
      <c r="F71" s="486" t="n"/>
      <c r="G71" s="486" t="n"/>
      <c r="H71" s="486" t="n"/>
      <c r="I71" s="486" t="n"/>
      <c r="J71" s="466" t="n"/>
      <c r="K71" s="2" t="n"/>
    </row>
    <row r="72">
      <c r="B72" s="22" t="n"/>
      <c r="C72" s="420" t="inlineStr">
        <is>
          <t>現状配置(予測)</t>
        </is>
      </c>
      <c r="D72" s="485" t="inlineStr">
        <is>
          <t>⑥18/1日、1.8/1人、3件/1人</t>
        </is>
      </c>
      <c r="E72" s="486" t="n"/>
      <c r="F72" s="486" t="n"/>
      <c r="G72" s="486" t="n"/>
      <c r="H72" s="486" t="n"/>
      <c r="I72" s="486" t="n"/>
      <c r="J72" s="466" t="n"/>
      <c r="K72" s="2" t="n"/>
    </row>
    <row r="73">
      <c r="B73" s="420" t="inlineStr">
        <is>
          <t>西(神戸西・弥栄台)</t>
        </is>
      </c>
      <c r="C73" s="420" t="n"/>
      <c r="D73" s="485" t="inlineStr">
        <is>
          <t>⑦依頼書の見落とし(日付、入替、入出庫、場所）</t>
        </is>
      </c>
      <c r="E73" s="486" t="n"/>
      <c r="F73" s="486" t="n"/>
      <c r="G73" s="486" t="n"/>
      <c r="H73" s="486" t="n"/>
      <c r="I73" s="486" t="n"/>
      <c r="J73" s="466" t="n"/>
      <c r="K73" s="2" t="n"/>
    </row>
    <row r="74">
      <c r="B74" s="420" t="inlineStr">
        <is>
          <t>真ん中(摩耶・中央)</t>
        </is>
      </c>
      <c r="C74" s="420" t="n"/>
      <c r="D74" s="485" t="inlineStr">
        <is>
          <t>⑧3ｔ車と2ｔ車への振り方(西と東に振り分ける)</t>
        </is>
      </c>
      <c r="E74" s="486" t="n"/>
      <c r="F74" s="486" t="n"/>
      <c r="G74" s="486" t="n"/>
      <c r="H74" s="486" t="n"/>
      <c r="I74" s="486" t="n"/>
      <c r="J74" s="466" t="n"/>
      <c r="K74" s="2" t="n"/>
    </row>
    <row r="75">
      <c r="B75" s="420" t="inlineStr">
        <is>
          <t>東(尼崎・伊丹・西宮)</t>
        </is>
      </c>
      <c r="C75" s="420" t="n"/>
      <c r="D75" s="485" t="inlineStr">
        <is>
          <t>⑨</t>
        </is>
      </c>
      <c r="E75" s="486" t="n"/>
      <c r="F75" s="486" t="n"/>
      <c r="G75" s="486" t="n"/>
      <c r="H75" s="486" t="n"/>
      <c r="I75" s="486" t="n"/>
      <c r="J75" s="466" t="n"/>
      <c r="K75" s="2" t="n"/>
    </row>
    <row r="76">
      <c r="B76" s="48" t="inlineStr">
        <is>
          <t>極東(港区・淀屋橋)</t>
        </is>
      </c>
      <c r="C76" s="420" t="n"/>
      <c r="D76" s="49" t="n"/>
      <c r="E76" s="49" t="n"/>
      <c r="F76" s="49" t="n"/>
      <c r="G76" s="49" t="n"/>
      <c r="H76" s="49" t="n"/>
      <c r="I76" s="49" t="n"/>
      <c r="J76" s="49" t="n"/>
      <c r="K76" s="2" t="n"/>
    </row>
    <row r="77" ht="14.25" customHeight="1" s="462" thickBot="1">
      <c r="K77" s="2" t="n"/>
    </row>
    <row r="78">
      <c r="C78" s="473" t="inlineStr">
        <is>
          <t>合計額/380</t>
        </is>
      </c>
      <c r="D78" s="358">
        <f>SUM(G78)</f>
        <v/>
      </c>
      <c r="F78" s="360" t="inlineStr">
        <is>
          <t>売り上げ額</t>
        </is>
      </c>
      <c r="G78" s="362">
        <f>SUM(SUM(K4:K44))+SUM(#REF!)</f>
        <v/>
      </c>
      <c r="H78" s="465" t="n"/>
      <c r="I78" s="465" t="n"/>
      <c r="J78" s="467" t="n"/>
      <c r="K78" s="2" t="n"/>
    </row>
    <row r="79" ht="14.25" customHeight="1" s="462" thickBot="1">
      <c r="C79" s="474" t="n"/>
      <c r="D79" s="475" t="n"/>
      <c r="F79" s="468" t="n"/>
      <c r="G79" s="476" t="n"/>
      <c r="H79" s="477" t="n"/>
      <c r="I79" s="477" t="n"/>
      <c r="J79" s="469" t="n"/>
      <c r="K79" s="2" t="n"/>
    </row>
    <row r="80">
      <c r="C80" s="478" t="inlineStr">
        <is>
          <t>前日までの売上合計額</t>
        </is>
      </c>
      <c r="D80" s="479">
        <f>SUM(B89)</f>
        <v/>
      </c>
      <c r="K80" s="2" t="n"/>
    </row>
    <row r="81" ht="14.25" customHeight="1" s="462" thickBot="1">
      <c r="C81" s="480" t="n"/>
      <c r="D81" s="480" t="n"/>
      <c r="F81" s="420" t="inlineStr">
        <is>
          <t>金井（55)</t>
        </is>
      </c>
      <c r="G81" s="345" t="n"/>
      <c r="H81" s="466" t="n"/>
      <c r="I81" s="130" t="n"/>
      <c r="K81" s="2" t="n"/>
    </row>
    <row r="82" ht="14.25" customHeight="1" s="462" thickTop="1">
      <c r="D82" s="346">
        <f>D78+D80</f>
        <v/>
      </c>
      <c r="F82" s="420" t="inlineStr">
        <is>
          <t>粟津(55)</t>
        </is>
      </c>
      <c r="G82" s="340" t="n"/>
      <c r="H82" s="466" t="n"/>
      <c r="I82" s="131" t="n"/>
      <c r="K82" s="2" t="n"/>
    </row>
    <row r="83">
      <c r="F83" s="420" t="inlineStr">
        <is>
          <t>砂川(50)</t>
        </is>
      </c>
      <c r="G83" s="340" t="n"/>
      <c r="H83" s="466" t="n"/>
      <c r="I83" s="131" t="n"/>
      <c r="K83" s="2" t="n"/>
    </row>
    <row r="84">
      <c r="C84" s="2" t="inlineStr">
        <is>
          <t>高代</t>
        </is>
      </c>
      <c r="F84" s="420" t="inlineStr">
        <is>
          <t>前川(50)</t>
        </is>
      </c>
      <c r="G84" s="340" t="n"/>
      <c r="H84" s="466" t="n"/>
      <c r="I84" s="131" t="n"/>
      <c r="K84" s="2" t="n"/>
    </row>
    <row r="85">
      <c r="C85" s="2" t="inlineStr">
        <is>
          <t>返還代</t>
        </is>
      </c>
      <c r="F85" s="420" t="inlineStr">
        <is>
          <t>佐藤(50)</t>
        </is>
      </c>
      <c r="G85" s="345" t="n"/>
      <c r="H85" s="466" t="n"/>
      <c r="I85" s="130" t="n"/>
      <c r="K85" s="2" t="n"/>
    </row>
    <row r="86">
      <c r="C86" s="2" t="inlineStr">
        <is>
          <t>回収率</t>
        </is>
      </c>
      <c r="D86" s="50">
        <f>D85/D84</f>
        <v/>
      </c>
      <c r="F86" s="420" t="inlineStr">
        <is>
          <t>末次(55)</t>
        </is>
      </c>
      <c r="G86" s="340" t="n"/>
      <c r="H86" s="466" t="n"/>
      <c r="I86" s="131" t="n"/>
      <c r="K86" s="2" t="n"/>
    </row>
    <row r="87">
      <c r="C87" s="2" t="inlineStr">
        <is>
          <t>費</t>
        </is>
      </c>
      <c r="D87" s="2">
        <f>D84-D85</f>
        <v/>
      </c>
      <c r="F87" s="420" t="inlineStr">
        <is>
          <t>筒井(75)</t>
        </is>
      </c>
      <c r="G87" s="340" t="n"/>
      <c r="H87" s="466" t="n"/>
      <c r="I87" s="131" t="n"/>
      <c r="K87" s="2" t="n"/>
    </row>
    <row r="88">
      <c r="F88" s="420" t="inlineStr">
        <is>
          <t>山岸(40)</t>
        </is>
      </c>
      <c r="G88" s="340" t="n"/>
      <c r="H88" s="466" t="n"/>
      <c r="I88" s="131" t="n"/>
      <c r="K88" s="2" t="n"/>
    </row>
    <row r="89" ht="23.25" customHeight="1" s="462">
      <c r="B89" s="71" t="n"/>
      <c r="F89" s="420" t="inlineStr">
        <is>
          <t>多苗(30)</t>
        </is>
      </c>
      <c r="G89" s="340" t="n"/>
      <c r="H89" s="466" t="n"/>
      <c r="I89" s="131" t="n"/>
      <c r="K89" s="2" t="n"/>
      <c r="L89" s="2" t="inlineStr">
        <is>
          <t> </t>
        </is>
      </c>
    </row>
    <row r="90">
      <c r="K90" s="2" t="n"/>
    </row>
    <row r="91">
      <c r="K91" s="2" t="n"/>
    </row>
  </sheetData>
  <mergeCells count="58">
    <mergeCell ref="D71:J71"/>
    <mergeCell ref="E50:F50"/>
    <mergeCell ref="G81:H81"/>
    <mergeCell ref="Q7:R7"/>
    <mergeCell ref="Q3:R3"/>
    <mergeCell ref="E55:F55"/>
    <mergeCell ref="G86:H86"/>
    <mergeCell ref="D74:J74"/>
    <mergeCell ref="Q37:R37"/>
    <mergeCell ref="D68:J68"/>
    <mergeCell ref="D80:D81"/>
    <mergeCell ref="D73:J73"/>
    <mergeCell ref="E52:F52"/>
    <mergeCell ref="E48:F48"/>
    <mergeCell ref="G78:J79"/>
    <mergeCell ref="D67:J67"/>
    <mergeCell ref="E64:F64"/>
    <mergeCell ref="G82:H82"/>
    <mergeCell ref="C80:C81"/>
    <mergeCell ref="B2:C2"/>
    <mergeCell ref="E51:F51"/>
    <mergeCell ref="Q5:R5"/>
    <mergeCell ref="K47:K48"/>
    <mergeCell ref="E63:F63"/>
    <mergeCell ref="D69:J69"/>
    <mergeCell ref="D78:D79"/>
    <mergeCell ref="Q10:R10"/>
    <mergeCell ref="E60:F60"/>
    <mergeCell ref="Q35:R35"/>
    <mergeCell ref="Q4:R4"/>
    <mergeCell ref="Q31:R31"/>
    <mergeCell ref="G87:H87"/>
    <mergeCell ref="E47:F47"/>
    <mergeCell ref="G83:H83"/>
    <mergeCell ref="Q34:R34"/>
    <mergeCell ref="K52:K53"/>
    <mergeCell ref="H49:J50"/>
    <mergeCell ref="E49:F49"/>
    <mergeCell ref="H52:J53"/>
    <mergeCell ref="Q44:R44"/>
    <mergeCell ref="C78:C79"/>
    <mergeCell ref="G89:H89"/>
    <mergeCell ref="Q36:R36"/>
    <mergeCell ref="E61:F61"/>
    <mergeCell ref="G88:H88"/>
    <mergeCell ref="E54:F54"/>
    <mergeCell ref="D70:J70"/>
    <mergeCell ref="G85:H85"/>
    <mergeCell ref="D82:D83"/>
    <mergeCell ref="D75:J75"/>
    <mergeCell ref="F78:F79"/>
    <mergeCell ref="Q32:R32"/>
    <mergeCell ref="E53:F53"/>
    <mergeCell ref="Q41:R41"/>
    <mergeCell ref="H47:J48"/>
    <mergeCell ref="D72:J72"/>
    <mergeCell ref="G84:H84"/>
    <mergeCell ref="K49:K50"/>
  </mergeCells>
  <conditionalFormatting sqref="K49:K50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42:L44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41">
    <cfRule type="cellIs" priority="1" operator="greaterThan" dxfId="0">
      <formula>30</formula>
    </cfRule>
  </conditionalFormatting>
  <conditionalFormatting sqref="D5:D52">
    <cfRule type="containsText" priority="7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56"/>
</worksheet>
</file>

<file path=xl/worksheets/sheet43.xml><?xml version="1.0" encoding="utf-8"?>
<worksheet xmlns="http://schemas.openxmlformats.org/spreadsheetml/2006/main">
  <sheetPr codeName="Sheet43">
    <tabColor rgb="FF00B0F0"/>
    <outlinePr summaryBelow="1" summaryRight="1"/>
    <pageSetUpPr fitToPage="1"/>
  </sheetPr>
  <dimension ref="A1:R67"/>
  <sheetViews>
    <sheetView topLeftCell="A7" zoomScaleNormal="100" workbookViewId="0">
      <selection activeCell="I17" sqref="I1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outlineLevel="1" width="20.25" customWidth="1" style="452" min="11" max="11"/>
    <col width="8.75" customWidth="1" style="2" min="12" max="16384"/>
  </cols>
  <sheetData>
    <row r="1"/>
    <row r="2" ht="15" customHeight="1" s="462" thickBot="1">
      <c r="B2" s="496" t="n">
        <v>46196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4" t="n"/>
      <c r="D10" s="441" t="n"/>
      <c r="E10" s="63" t="n"/>
      <c r="F10" s="441" t="n"/>
      <c r="G10" s="59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64" t="n"/>
      <c r="E14" s="420" t="n"/>
      <c r="F14" s="57" t="n"/>
      <c r="G14" s="66" t="n"/>
      <c r="H14" s="74" t="n"/>
      <c r="I14" s="74" t="n"/>
      <c r="J14" s="420" t="n"/>
      <c r="K14" s="73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</row>
    <row r="15" ht="27" customHeight="1" s="462">
      <c r="A15" s="423">
        <f>IF(B15="","",COUNTA($B$5:B15))</f>
        <v/>
      </c>
      <c r="B15" s="57" t="n"/>
      <c r="C15" s="420" t="n"/>
      <c r="D15" s="63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</row>
    <row r="16" ht="27" customHeight="1" s="462">
      <c r="A16" s="423">
        <f>IF(B16="","",COUNTA($B$5:B16))</f>
        <v/>
      </c>
      <c r="B16" s="441" t="n"/>
      <c r="C16" s="440" t="n"/>
      <c r="D16" s="441" t="n"/>
      <c r="E16" s="440" t="n"/>
      <c r="F16" s="57" t="n"/>
      <c r="G16" s="65" t="n"/>
      <c r="H16" s="74" t="n"/>
      <c r="I16" s="74" t="n"/>
      <c r="J16" s="420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</row>
    <row r="17" ht="27" customHeight="1" s="462">
      <c r="A17" s="423">
        <f>IF(B17="","",COUNTA($B$5:B17))</f>
        <v/>
      </c>
      <c r="B17" s="441" t="n"/>
      <c r="C17" s="63" t="n"/>
      <c r="D17" s="440" t="n"/>
      <c r="E17" s="441" t="n"/>
      <c r="F17" s="57" t="n"/>
      <c r="G17" s="59" t="n"/>
      <c r="H17" s="60" t="n"/>
      <c r="I17" s="60" t="n"/>
      <c r="J17" s="57" t="n"/>
      <c r="K17" s="73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</row>
    <row r="18" ht="27" customHeight="1" s="462">
      <c r="A18" s="423">
        <f>IF(B18="","",COUNTA($B$5:B18))</f>
        <v/>
      </c>
      <c r="B18" s="441" t="n"/>
      <c r="C18" s="63" t="n"/>
      <c r="D18" s="440" t="n"/>
      <c r="E18" s="441" t="n"/>
      <c r="F18" s="57" t="n"/>
      <c r="G18" s="59" t="n"/>
      <c r="H18" s="60" t="n"/>
      <c r="I18" s="60" t="n"/>
      <c r="J18" s="57" t="n"/>
      <c r="K18" s="73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441" t="n"/>
      <c r="C19" s="63" t="n"/>
      <c r="D19" s="440" t="n"/>
      <c r="E19" s="441" t="n"/>
      <c r="F19" s="57" t="n"/>
      <c r="G19" s="59" t="n"/>
      <c r="H19" s="60" t="n"/>
      <c r="I19" s="60" t="n"/>
      <c r="J19" s="57" t="n"/>
      <c r="K19" s="73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27.75" customHeight="1" s="462">
      <c r="A20" s="423">
        <f>IF(B20="","",COUNTA($B$5:B20))</f>
        <v/>
      </c>
      <c r="B20" s="420" t="n"/>
      <c r="C20" s="420" t="n"/>
      <c r="D20" s="420" t="n"/>
      <c r="E20" s="420" t="n"/>
      <c r="F20" s="420" t="n"/>
      <c r="G20" s="69" t="n"/>
      <c r="H20" s="70" t="n"/>
      <c r="I20" s="70" t="n"/>
      <c r="J20" s="420" t="n"/>
      <c r="K20" s="2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</row>
    <row r="21" ht="27" customHeight="1" s="462">
      <c r="B21" s="18" t="n"/>
      <c r="C21" s="18" t="n"/>
      <c r="D21" s="18" t="n"/>
      <c r="E21" s="18" t="n"/>
      <c r="F21" s="18" t="n"/>
      <c r="G21" s="19" t="n"/>
      <c r="H21" s="33" t="n"/>
      <c r="I21" s="18" t="n"/>
      <c r="J21" s="18" t="n"/>
      <c r="K21" s="18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2" ht="27" customHeight="1" s="462" thickBot="1">
      <c r="K22" s="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3" ht="27" customHeight="1" s="462">
      <c r="B23" s="22" t="n"/>
      <c r="C23" s="25" t="n"/>
      <c r="D23" s="25" t="inlineStr">
        <is>
          <t>現在待機場所</t>
        </is>
      </c>
      <c r="E23" s="25" t="inlineStr">
        <is>
          <t>待機予定場所</t>
        </is>
      </c>
      <c r="F23" s="466" t="n"/>
      <c r="H23" s="375" t="inlineStr">
        <is>
          <t>目標距離</t>
        </is>
      </c>
      <c r="I23" s="465" t="n"/>
      <c r="J23" s="467" t="n"/>
      <c r="K23" s="377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4" ht="27" customHeight="1" s="462" thickBot="1">
      <c r="B24" s="26" t="inlineStr">
        <is>
          <t>2(255)</t>
        </is>
      </c>
      <c r="C24" s="21" t="inlineStr">
        <is>
          <t>山岸</t>
        </is>
      </c>
      <c r="D24" s="34" t="n"/>
      <c r="E24" s="34" t="n"/>
      <c r="F24" s="466" t="n"/>
      <c r="H24" s="468" t="n"/>
      <c r="I24" s="477" t="n"/>
      <c r="J24" s="469" t="n"/>
      <c r="K24" s="470" t="n"/>
    </row>
    <row r="25">
      <c r="B25" s="26" t="inlineStr">
        <is>
          <t>8(254)</t>
        </is>
      </c>
      <c r="C25" s="21" t="inlineStr">
        <is>
          <t>砂川</t>
        </is>
      </c>
      <c r="D25" s="35" t="n"/>
      <c r="E25" s="35" t="n"/>
      <c r="F25" s="466" t="n"/>
      <c r="H25" s="368" t="inlineStr">
        <is>
          <t>残距離</t>
        </is>
      </c>
      <c r="J25" s="471" t="n"/>
      <c r="K25" s="354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6" ht="14.25" customHeight="1" s="462" thickBot="1">
      <c r="B26" s="26" t="inlineStr">
        <is>
          <t>9(256)</t>
        </is>
      </c>
      <c r="C26" s="21" t="inlineStr">
        <is>
          <t>前川</t>
        </is>
      </c>
      <c r="D26" s="35" t="n"/>
      <c r="E26" s="35" t="n"/>
      <c r="F26" s="466" t="n"/>
      <c r="H26" s="468" t="n"/>
      <c r="I26" s="477" t="n"/>
      <c r="J26" s="469" t="n"/>
      <c r="K26" s="472" t="n"/>
    </row>
    <row r="27" ht="14.25" customHeight="1" s="462" thickBot="1">
      <c r="B27" s="26" t="inlineStr">
        <is>
          <t>10(257)</t>
        </is>
      </c>
      <c r="C27" s="35" t="n"/>
      <c r="D27" s="35" t="n"/>
      <c r="E27" s="35" t="n"/>
      <c r="F27" s="466" t="n"/>
      <c r="K27" s="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8">
      <c r="B28" s="26" t="inlineStr">
        <is>
          <t>11(258)</t>
        </is>
      </c>
      <c r="C28" s="21" t="inlineStr">
        <is>
          <t>郡司</t>
        </is>
      </c>
      <c r="D28" s="35" t="n"/>
      <c r="E28" s="35" t="n"/>
      <c r="F28" s="466" t="n"/>
      <c r="H28" s="350" t="inlineStr">
        <is>
          <t>依頼件数</t>
        </is>
      </c>
      <c r="I28" s="465" t="n"/>
      <c r="J28" s="467" t="n"/>
      <c r="K28" s="354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29" ht="14.25" customHeight="1" s="462" thickBot="1">
      <c r="B29" s="26" t="inlineStr">
        <is>
          <t>12(736)</t>
        </is>
      </c>
      <c r="C29" s="21" t="n"/>
      <c r="D29" s="35" t="n"/>
      <c r="E29" s="35" t="n"/>
      <c r="F29" s="466" t="n"/>
      <c r="H29" s="468" t="n"/>
      <c r="I29" s="477" t="n"/>
      <c r="J29" s="469" t="n"/>
      <c r="K29" s="472" t="n"/>
    </row>
    <row r="30" ht="17.25" customHeight="1" s="462">
      <c r="B30" s="26" t="inlineStr">
        <is>
          <t>13(737)</t>
        </is>
      </c>
      <c r="C30" s="21" t="n"/>
      <c r="D30" s="35" t="n"/>
      <c r="E30" s="35" t="n"/>
      <c r="F30" s="466" t="n"/>
      <c r="H30" s="38" t="n"/>
      <c r="I30" s="38" t="n"/>
      <c r="J30" s="38" t="n"/>
      <c r="K30" s="39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1" ht="17.25" customHeight="1" s="462">
      <c r="B31" s="40" t="inlineStr">
        <is>
          <t>14(738)</t>
        </is>
      </c>
      <c r="C31" s="21" t="inlineStr">
        <is>
          <t>辻井</t>
        </is>
      </c>
      <c r="D31" s="35" t="n"/>
      <c r="E31" s="35" t="n"/>
      <c r="F31" s="466" t="n"/>
      <c r="H31" s="38" t="n"/>
      <c r="I31" s="38" t="n"/>
      <c r="J31" s="38" t="n"/>
      <c r="K31" s="39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17.25" customHeight="1" s="462">
      <c r="B32" s="41" t="n"/>
      <c r="C32" s="42" t="n"/>
      <c r="D32" s="43" t="n"/>
      <c r="E32" s="44" t="n"/>
      <c r="F32" s="349" t="n"/>
      <c r="H32" s="38" t="n"/>
      <c r="I32" s="38" t="n"/>
      <c r="J32" s="38" t="n"/>
      <c r="K32" s="39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3" ht="17.25" customHeight="1" s="462">
      <c r="B33" s="45" t="n">
        <v>7290</v>
      </c>
      <c r="C33" s="21" t="inlineStr">
        <is>
          <t>佐藤</t>
        </is>
      </c>
      <c r="D33" s="35" t="n"/>
      <c r="E33" s="348" t="n"/>
      <c r="F33" s="349" t="n"/>
      <c r="H33" s="38" t="n"/>
      <c r="I33" s="38" t="n"/>
      <c r="J33" s="38" t="n"/>
      <c r="K33" s="39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 ht="16.5" customHeight="1" s="462">
      <c r="B34" s="45" t="n">
        <v>7291</v>
      </c>
      <c r="C34" s="21" t="inlineStr">
        <is>
          <t>末次</t>
        </is>
      </c>
      <c r="D34" s="35" t="n"/>
      <c r="E34" s="348" t="n"/>
      <c r="F34" s="349" t="n"/>
      <c r="H34" s="38" t="n"/>
      <c r="I34" s="38" t="n"/>
      <c r="J34" s="38" t="n"/>
      <c r="K34" s="39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5" ht="16.5" customHeight="1" s="462">
      <c r="B35" s="41" t="n"/>
      <c r="C35" s="42" t="n"/>
      <c r="D35" s="44" t="n"/>
      <c r="E35" s="44" t="n"/>
      <c r="F35" s="349" t="n"/>
      <c r="H35" s="38" t="n"/>
      <c r="I35" s="38" t="n"/>
      <c r="J35" s="38" t="n"/>
      <c r="K35" s="39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6" ht="8.25" customHeight="1" s="462">
      <c r="B36" s="45" t="n">
        <v>333</v>
      </c>
      <c r="C36" s="21" t="inlineStr">
        <is>
          <t>金井/奥田</t>
        </is>
      </c>
      <c r="D36" s="35" t="n"/>
      <c r="E36" s="484" t="n"/>
      <c r="F36" s="469" t="n"/>
      <c r="H36" s="38" t="n"/>
      <c r="I36" s="38" t="n"/>
      <c r="J36" s="38" t="n"/>
      <c r="K36" s="39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7.25" customHeight="1" s="462">
      <c r="B37" s="46" t="n">
        <v>666</v>
      </c>
      <c r="C37" s="21" t="inlineStr">
        <is>
          <t>徳留</t>
        </is>
      </c>
      <c r="D37" s="35" t="n"/>
      <c r="E37" s="35" t="n"/>
      <c r="F37" s="466" t="n"/>
      <c r="H37" s="38" t="n"/>
      <c r="I37" s="38" t="n"/>
      <c r="J37" s="38" t="n"/>
      <c r="K37" s="39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8" ht="17.25" customHeight="1" s="462">
      <c r="B38" s="46" t="n">
        <v>777</v>
      </c>
      <c r="C38" s="21" t="n"/>
      <c r="D38" s="35" t="n"/>
      <c r="E38" s="348" t="n"/>
      <c r="F38" s="349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 ht="9" customHeight="1" s="462">
      <c r="B39" s="47" t="n">
        <v>330</v>
      </c>
      <c r="C39" s="21" t="n"/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16.5" customHeight="1" s="462">
      <c r="B40" s="47" t="n">
        <v>990</v>
      </c>
      <c r="C40" s="21" t="inlineStr">
        <is>
          <t>山原</t>
        </is>
      </c>
      <c r="D40" s="35" t="n"/>
      <c r="E40" s="35" t="n"/>
      <c r="F40" s="466" t="n"/>
      <c r="H40" s="38" t="n"/>
      <c r="I40" s="38" t="n"/>
      <c r="J40" s="38" t="n"/>
      <c r="K40" s="39" t="n"/>
    </row>
    <row r="41" ht="16.5" customHeight="1" s="462">
      <c r="K41" s="2" t="n"/>
    </row>
    <row r="42" ht="16.5" customHeight="1" s="462">
      <c r="C42" s="449" t="inlineStr">
        <is>
          <t>出発→到着</t>
        </is>
      </c>
      <c r="D42" s="420" t="inlineStr">
        <is>
          <t>備考</t>
        </is>
      </c>
      <c r="K42" s="2" t="n"/>
    </row>
    <row r="43" ht="16.5" customHeight="1" s="462">
      <c r="B43" s="27" t="inlineStr">
        <is>
          <t>①</t>
        </is>
      </c>
      <c r="C43" s="449" t="inlineStr">
        <is>
          <t>東→西</t>
        </is>
      </c>
      <c r="D43" s="485" t="inlineStr">
        <is>
          <t>①Aチーム優先</t>
        </is>
      </c>
      <c r="E43" s="486" t="n"/>
      <c r="F43" s="486" t="n"/>
      <c r="G43" s="486" t="n"/>
      <c r="H43" s="486" t="n"/>
      <c r="I43" s="486" t="n"/>
      <c r="J43" s="466" t="n"/>
      <c r="K43" s="2" t="n"/>
    </row>
    <row r="44" ht="16.5" customHeight="1" s="462">
      <c r="B44" s="27" t="inlineStr">
        <is>
          <t>②</t>
        </is>
      </c>
      <c r="C44" s="449" t="inlineStr">
        <is>
          <t>東→東</t>
        </is>
      </c>
      <c r="D44" s="485" t="inlineStr">
        <is>
          <t>②急ぎ案件の場合、道路状況も伝えてあげる。</t>
        </is>
      </c>
      <c r="E44" s="486" t="n"/>
      <c r="F44" s="486" t="n"/>
      <c r="G44" s="486" t="n"/>
      <c r="H44" s="486" t="n"/>
      <c r="I44" s="486" t="n"/>
      <c r="J44" s="466" t="n"/>
      <c r="K44" s="2" t="n"/>
    </row>
    <row r="45">
      <c r="B45" s="27" t="inlineStr">
        <is>
          <t>③</t>
        </is>
      </c>
      <c r="C45" s="449" t="inlineStr">
        <is>
          <t>西→東</t>
        </is>
      </c>
      <c r="D45" s="485" t="inlineStr">
        <is>
          <t>③各ドライバーの位置からの帰社のタイミング・夕方の配置</t>
        </is>
      </c>
      <c r="E45" s="486" t="n"/>
      <c r="F45" s="486" t="n"/>
      <c r="G45" s="486" t="n"/>
      <c r="H45" s="486" t="n"/>
      <c r="I45" s="486" t="n"/>
      <c r="J45" s="466" t="n"/>
      <c r="K45" s="2" t="n"/>
    </row>
    <row r="46">
      <c r="B46" s="27" t="inlineStr">
        <is>
          <t>④</t>
        </is>
      </c>
      <c r="C46" s="449" t="inlineStr">
        <is>
          <t>西→西</t>
        </is>
      </c>
      <c r="D46" s="485" t="inlineStr">
        <is>
          <t>④依頼を受ける際の、希望時間と現状の位置。行けるか行けないかの判断をしっかりと。</t>
        </is>
      </c>
      <c r="E46" s="486" t="n"/>
      <c r="F46" s="486" t="n"/>
      <c r="G46" s="486" t="n"/>
      <c r="H46" s="486" t="n"/>
      <c r="I46" s="486" t="n"/>
      <c r="J46" s="466" t="n"/>
      <c r="K46" s="2" t="n"/>
    </row>
    <row r="47">
      <c r="D47" s="485" t="inlineStr">
        <is>
          <t>⑤軽に乗るか乗らないかの判断に気を付ける。</t>
        </is>
      </c>
      <c r="E47" s="486" t="n"/>
      <c r="F47" s="486" t="n"/>
      <c r="G47" s="486" t="n"/>
      <c r="H47" s="486" t="n"/>
      <c r="I47" s="486" t="n"/>
      <c r="J47" s="466" t="n"/>
      <c r="K47" s="2" t="n"/>
    </row>
    <row r="48">
      <c r="B48" s="22" t="n"/>
      <c r="C48" s="420" t="inlineStr">
        <is>
          <t>現状配置(予測)</t>
        </is>
      </c>
      <c r="D48" s="485" t="inlineStr">
        <is>
          <t>⑥18/1日、1.8/1人、3件/1人</t>
        </is>
      </c>
      <c r="E48" s="486" t="n"/>
      <c r="F48" s="486" t="n"/>
      <c r="G48" s="486" t="n"/>
      <c r="H48" s="486" t="n"/>
      <c r="I48" s="486" t="n"/>
      <c r="J48" s="466" t="n"/>
      <c r="K48" s="2" t="n"/>
    </row>
    <row r="49">
      <c r="B49" s="420" t="inlineStr">
        <is>
          <t>西(神戸西・弥栄台)</t>
        </is>
      </c>
      <c r="C49" s="420" t="n"/>
      <c r="D49" s="485" t="inlineStr">
        <is>
          <t>⑦依頼書の見落とし(日付、入替、入出庫、場所）</t>
        </is>
      </c>
      <c r="E49" s="486" t="n"/>
      <c r="F49" s="486" t="n"/>
      <c r="G49" s="486" t="n"/>
      <c r="H49" s="486" t="n"/>
      <c r="I49" s="486" t="n"/>
      <c r="J49" s="466" t="n"/>
      <c r="K49" s="2" t="n"/>
    </row>
    <row r="50">
      <c r="B50" s="420" t="inlineStr">
        <is>
          <t>真ん中(摩耶・中央)</t>
        </is>
      </c>
      <c r="C50" s="420" t="n"/>
      <c r="D50" s="485" t="inlineStr">
        <is>
          <t>⑧3ｔ車と2ｔ車への振り方(西と東に振り分ける)</t>
        </is>
      </c>
      <c r="E50" s="486" t="n"/>
      <c r="F50" s="486" t="n"/>
      <c r="G50" s="486" t="n"/>
      <c r="H50" s="486" t="n"/>
      <c r="I50" s="486" t="n"/>
      <c r="J50" s="466" t="n"/>
      <c r="K50" s="2" t="n"/>
    </row>
    <row r="51">
      <c r="B51" s="420" t="inlineStr">
        <is>
          <t>東(尼崎・伊丹・西宮)</t>
        </is>
      </c>
      <c r="C51" s="420" t="n"/>
      <c r="D51" s="485" t="inlineStr">
        <is>
          <t>⑨</t>
        </is>
      </c>
      <c r="E51" s="486" t="n"/>
      <c r="F51" s="486" t="n"/>
      <c r="G51" s="486" t="n"/>
      <c r="H51" s="486" t="n"/>
      <c r="I51" s="486" t="n"/>
      <c r="J51" s="466" t="n"/>
      <c r="K51" s="2" t="n"/>
    </row>
    <row r="52">
      <c r="B52" s="48" t="inlineStr">
        <is>
          <t>極東(港区・淀屋橋)</t>
        </is>
      </c>
      <c r="C52" s="420" t="n"/>
      <c r="D52" s="49" t="n"/>
      <c r="E52" s="49" t="n"/>
      <c r="F52" s="49" t="n"/>
      <c r="G52" s="49" t="n"/>
      <c r="H52" s="49" t="n"/>
      <c r="I52" s="49" t="n"/>
      <c r="J52" s="49" t="n"/>
      <c r="K52" s="2" t="n"/>
    </row>
    <row r="53" ht="14.25" customHeight="1" s="462" thickBot="1">
      <c r="K53" s="2" t="n"/>
    </row>
    <row r="54">
      <c r="C54" s="473" t="inlineStr">
        <is>
          <t>合計額/380</t>
        </is>
      </c>
      <c r="D54" s="358">
        <f>SUM(G54)</f>
        <v/>
      </c>
      <c r="F54" s="360" t="inlineStr">
        <is>
          <t>売り上げ額</t>
        </is>
      </c>
      <c r="G54" s="362">
        <f>SUM(SUM(K4:K20))+SUM(#REF!)</f>
        <v/>
      </c>
      <c r="H54" s="465" t="n"/>
      <c r="I54" s="465" t="n"/>
      <c r="J54" s="467" t="n"/>
      <c r="K54" s="2" t="n"/>
    </row>
    <row r="55" ht="14.25" customHeight="1" s="462" thickBot="1">
      <c r="C55" s="474" t="n"/>
      <c r="D55" s="475" t="n"/>
      <c r="F55" s="468" t="n"/>
      <c r="G55" s="476" t="n"/>
      <c r="H55" s="477" t="n"/>
      <c r="I55" s="477" t="n"/>
      <c r="J55" s="469" t="n"/>
      <c r="K55" s="2" t="n"/>
    </row>
    <row r="56">
      <c r="C56" s="478" t="inlineStr">
        <is>
          <t>前日までの売上合計額</t>
        </is>
      </c>
      <c r="D56" s="479">
        <f>SUM(B65)</f>
        <v/>
      </c>
      <c r="K56" s="2" t="n"/>
    </row>
    <row r="57" ht="14.25" customHeight="1" s="462" thickBot="1">
      <c r="C57" s="480" t="n"/>
      <c r="D57" s="480" t="n"/>
      <c r="F57" s="420" t="inlineStr">
        <is>
          <t>金井（55)</t>
        </is>
      </c>
      <c r="G57" s="345" t="n"/>
      <c r="H57" s="466" t="n"/>
      <c r="I57" s="130" t="n"/>
      <c r="K57" s="2" t="n"/>
    </row>
    <row r="58" ht="14.25" customHeight="1" s="462" thickTop="1">
      <c r="D58" s="346">
        <f>D54+D56</f>
        <v/>
      </c>
      <c r="F58" s="420" t="inlineStr">
        <is>
          <t>粟津(55)</t>
        </is>
      </c>
      <c r="G58" s="340" t="n"/>
      <c r="H58" s="466" t="n"/>
      <c r="I58" s="131" t="n"/>
      <c r="K58" s="2" t="n"/>
    </row>
    <row r="59">
      <c r="F59" s="420" t="inlineStr">
        <is>
          <t>砂川(50)</t>
        </is>
      </c>
      <c r="G59" s="340" t="n"/>
      <c r="H59" s="466" t="n"/>
      <c r="I59" s="131" t="n"/>
      <c r="K59" s="2" t="n"/>
    </row>
    <row r="60">
      <c r="C60" s="2" t="inlineStr">
        <is>
          <t>高代</t>
        </is>
      </c>
      <c r="F60" s="420" t="inlineStr">
        <is>
          <t>前川(50)</t>
        </is>
      </c>
      <c r="G60" s="340" t="n"/>
      <c r="H60" s="466" t="n"/>
      <c r="I60" s="131" t="n"/>
      <c r="K60" s="2" t="n"/>
    </row>
    <row r="61">
      <c r="C61" s="2" t="inlineStr">
        <is>
          <t>返還代</t>
        </is>
      </c>
      <c r="F61" s="420" t="inlineStr">
        <is>
          <t>佐藤(50)</t>
        </is>
      </c>
      <c r="G61" s="345" t="n"/>
      <c r="H61" s="466" t="n"/>
      <c r="I61" s="130" t="n"/>
      <c r="K61" s="2" t="n"/>
    </row>
    <row r="62">
      <c r="C62" s="2" t="inlineStr">
        <is>
          <t>回収率</t>
        </is>
      </c>
      <c r="D62" s="50">
        <f>D61/D60</f>
        <v/>
      </c>
      <c r="F62" s="420" t="inlineStr">
        <is>
          <t>末次(55)</t>
        </is>
      </c>
      <c r="G62" s="340" t="n"/>
      <c r="H62" s="466" t="n"/>
      <c r="I62" s="131" t="n"/>
      <c r="K62" s="2" t="n"/>
    </row>
    <row r="63">
      <c r="C63" s="2" t="inlineStr">
        <is>
          <t>費</t>
        </is>
      </c>
      <c r="D63" s="2">
        <f>D60-D61</f>
        <v/>
      </c>
      <c r="F63" s="420" t="inlineStr">
        <is>
          <t>筒井(75)</t>
        </is>
      </c>
      <c r="G63" s="340" t="n"/>
      <c r="H63" s="466" t="n"/>
      <c r="I63" s="131" t="n"/>
      <c r="K63" s="2" t="n"/>
    </row>
    <row r="64">
      <c r="F64" s="420" t="inlineStr">
        <is>
          <t>山岸(40)</t>
        </is>
      </c>
      <c r="G64" s="340" t="n"/>
      <c r="H64" s="466" t="n"/>
      <c r="I64" s="131" t="n"/>
      <c r="K64" s="2" t="n"/>
    </row>
    <row r="65" ht="17.25" customHeight="1" s="462">
      <c r="B65" s="71" t="n"/>
      <c r="F65" s="420" t="inlineStr">
        <is>
          <t>多苗(30)</t>
        </is>
      </c>
      <c r="G65" s="340" t="n"/>
      <c r="H65" s="466" t="n"/>
      <c r="I65" s="131" t="n"/>
      <c r="K65" s="2" t="n"/>
      <c r="L65" s="2" t="inlineStr">
        <is>
          <t> </t>
        </is>
      </c>
    </row>
    <row r="66">
      <c r="K66" s="2" t="n"/>
    </row>
    <row r="67">
      <c r="K67" s="2" t="n"/>
    </row>
    <row r="69" ht="23.25" customHeight="1" s="462"/>
  </sheetData>
  <mergeCells count="53">
    <mergeCell ref="Q16:R16"/>
    <mergeCell ref="G59:H59"/>
    <mergeCell ref="Q3:R3"/>
    <mergeCell ref="E24:F24"/>
    <mergeCell ref="E23:F23"/>
    <mergeCell ref="G61:H61"/>
    <mergeCell ref="C54:C55"/>
    <mergeCell ref="E39:F39"/>
    <mergeCell ref="D51:J51"/>
    <mergeCell ref="H23:J24"/>
    <mergeCell ref="B2:C2"/>
    <mergeCell ref="H25:J26"/>
    <mergeCell ref="D50:J50"/>
    <mergeCell ref="E29:F29"/>
    <mergeCell ref="D44:J44"/>
    <mergeCell ref="Q5:R5"/>
    <mergeCell ref="Q20:R20"/>
    <mergeCell ref="C56:C57"/>
    <mergeCell ref="D56:D57"/>
    <mergeCell ref="Q14:R14"/>
    <mergeCell ref="E28:F28"/>
    <mergeCell ref="G57:H57"/>
    <mergeCell ref="G62:H62"/>
    <mergeCell ref="E40:F40"/>
    <mergeCell ref="E31:F31"/>
    <mergeCell ref="Q4:R4"/>
    <mergeCell ref="D46:J46"/>
    <mergeCell ref="E30:F30"/>
    <mergeCell ref="K23:K24"/>
    <mergeCell ref="Q15:R15"/>
    <mergeCell ref="D45:J45"/>
    <mergeCell ref="E27:F27"/>
    <mergeCell ref="G58:H58"/>
    <mergeCell ref="G65:H65"/>
    <mergeCell ref="E36:F36"/>
    <mergeCell ref="G54:J55"/>
    <mergeCell ref="E26:F26"/>
    <mergeCell ref="D49:J49"/>
    <mergeCell ref="D58:D59"/>
    <mergeCell ref="G64:H64"/>
    <mergeCell ref="D54:D55"/>
    <mergeCell ref="K28:K29"/>
    <mergeCell ref="Q17:R17"/>
    <mergeCell ref="D48:J48"/>
    <mergeCell ref="E25:F25"/>
    <mergeCell ref="K25:K26"/>
    <mergeCell ref="G63:H63"/>
    <mergeCell ref="D47:J47"/>
    <mergeCell ref="E37:F37"/>
    <mergeCell ref="G60:H60"/>
    <mergeCell ref="F54:F55"/>
    <mergeCell ref="H28:J29"/>
    <mergeCell ref="D43:J43"/>
  </mergeCells>
  <conditionalFormatting sqref="L3:L20">
    <cfRule type="cellIs" priority="3" operator="greaterThan" dxfId="0">
      <formula>30</formula>
    </cfRule>
  </conditionalFormatting>
  <conditionalFormatting sqref="K25:K26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28">
    <cfRule type="containsText" priority="6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47"/>
</worksheet>
</file>

<file path=xl/worksheets/sheet4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R91"/>
  <sheetViews>
    <sheetView zoomScaleNormal="100" workbookViewId="0">
      <selection activeCell="B4" sqref="B4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0.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outlineLevel="1" width="20.25" customWidth="1" style="452" min="11" max="11"/>
    <col width="8.75" customWidth="1" style="2" min="12" max="16384"/>
  </cols>
  <sheetData>
    <row r="1"/>
    <row r="2" ht="15" customHeight="1" s="462" thickBot="1">
      <c r="B2" s="496" t="n">
        <v>46196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inlineStr">
        <is>
          <t>333：車検</t>
        </is>
      </c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 t="n"/>
      <c r="B6" s="57" t="n"/>
      <c r="C6" s="441" t="n"/>
      <c r="D6" s="63" t="n"/>
      <c r="E6" s="441" t="n"/>
      <c r="F6" s="57" t="n"/>
      <c r="G6" s="59" t="n"/>
      <c r="H6" s="438" t="n"/>
      <c r="I6" s="295">
        <f>IFERROR(_xlfn.XLOOKUP(H6,案件・ドライバー一覧!$L$3:$L$17,案件・ドライバー一覧!$M$3:$M$17,""),"")</f>
        <v/>
      </c>
      <c r="J6" s="57" t="n"/>
      <c r="K6" s="72" t="n"/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441" t="n"/>
      <c r="D7" s="63" t="n"/>
      <c r="E7" s="441" t="n"/>
      <c r="F7" s="57" t="n"/>
      <c r="G7" s="68" t="n"/>
      <c r="H7" s="438" t="n"/>
      <c r="I7" s="295">
        <f>IFERROR(_xlfn.XLOOKUP(H7,案件・ドライバー一覧!$L$3:$L$17,案件・ドライバー一覧!$M$3:$M$17,""),"")</f>
        <v/>
      </c>
      <c r="J7" s="57" t="n"/>
      <c r="K7" s="73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</row>
    <row r="8" ht="27" customHeight="1" s="462">
      <c r="A8" s="423">
        <f>IF(B8="","",COUNTA($B$5:B8))</f>
        <v/>
      </c>
      <c r="B8" s="57" t="n"/>
      <c r="C8" s="64" t="n"/>
      <c r="D8" s="63" t="n"/>
      <c r="E8" s="441" t="n"/>
      <c r="F8" s="57" t="n"/>
      <c r="G8" s="59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4" t="n"/>
      <c r="D9" s="441" t="n"/>
      <c r="E9" s="441" t="n"/>
      <c r="F9" s="57" t="n"/>
      <c r="G9" s="59" t="n"/>
      <c r="H9" s="438" t="n"/>
      <c r="I9" s="295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438" t="n"/>
      <c r="I10" s="296">
        <f>IFERROR(_xlfn.XLOOKUP(H10,案件・ドライバー一覧!$L$3:$L$17,案件・ドライバー一覧!$M$3:$M$17,""),"")</f>
        <v/>
      </c>
      <c r="J10" s="420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16.5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427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67.5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 t="n"/>
      <c r="B18" s="57" t="n"/>
      <c r="C18" s="63" t="n"/>
      <c r="D18" s="441" t="n"/>
      <c r="E18" s="441" t="n"/>
      <c r="F18" s="57" t="n"/>
      <c r="G18" s="65" t="n"/>
      <c r="H18" s="438" t="n"/>
      <c r="I18" s="427" t="n"/>
      <c r="J18" s="57" t="n"/>
      <c r="K18" s="72" t="n"/>
      <c r="L18" s="61" t="n"/>
      <c r="M18" s="449" t="n"/>
      <c r="N18" s="449" t="n"/>
      <c r="O18" s="449" t="n"/>
      <c r="P18" s="449" t="n"/>
      <c r="Q18" s="449" t="n"/>
      <c r="R18" s="449" t="n"/>
    </row>
    <row r="19" ht="28.5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438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27" customHeight="1" s="462">
      <c r="A20" s="423">
        <f>IF(B20="","",COUNTA($B$5:B20))</f>
        <v/>
      </c>
      <c r="B20" s="57" t="n"/>
      <c r="C20" s="63" t="n"/>
      <c r="D20" s="441" t="n"/>
      <c r="E20" s="441" t="n"/>
      <c r="F20" s="57" t="n"/>
      <c r="G20" s="65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441" t="n"/>
      <c r="D21" s="441" t="n"/>
      <c r="E21" s="441" t="n"/>
      <c r="F21" s="57" t="n"/>
      <c r="G21" s="65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  <c r="R21" s="449" t="n"/>
    </row>
    <row r="22" ht="28.5" customHeight="1" s="462">
      <c r="A22" s="423">
        <f>IF(B22="","",COUNTA($B$5:B22))</f>
        <v/>
      </c>
      <c r="B22" s="57" t="n"/>
      <c r="C22" s="64" t="n"/>
      <c r="D22" s="441" t="n"/>
      <c r="E22" s="63" t="n"/>
      <c r="F22" s="441" t="n"/>
      <c r="G22" s="59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  <c r="R25" s="449" t="n"/>
    </row>
    <row r="26" ht="27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  <c r="R27" s="449" t="n"/>
    </row>
    <row r="28" ht="15.75" customHeight="1" s="462">
      <c r="A28" s="423">
        <f>IF(B28="","",COUNTA($B$5:B28))</f>
        <v/>
      </c>
      <c r="B28" s="57" t="n"/>
      <c r="C28" s="63" t="n"/>
      <c r="D28" s="441" t="n"/>
      <c r="E28" s="441" t="n"/>
      <c r="F28" s="57" t="n"/>
      <c r="G28" s="65" t="n"/>
      <c r="H28" s="438" t="n"/>
      <c r="I28" s="427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  <c r="R28" s="449" t="n"/>
    </row>
    <row r="29" ht="27" customHeight="1" s="462">
      <c r="A29" s="423">
        <f>IF(B29="","",COUNTA($B$5:B29))</f>
        <v/>
      </c>
      <c r="B29" s="57" t="n"/>
      <c r="C29" s="63" t="n"/>
      <c r="D29" s="441" t="n"/>
      <c r="E29" s="441" t="n"/>
      <c r="F29" s="57" t="n"/>
      <c r="G29" s="65" t="n"/>
      <c r="H29" s="438" t="n"/>
      <c r="I29" s="427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  <c r="R29" s="449" t="n"/>
    </row>
    <row r="30" ht="27" customHeight="1" s="462">
      <c r="A30" s="423" t="n"/>
      <c r="B30" s="57" t="n"/>
      <c r="C30" s="63" t="n"/>
      <c r="D30" s="441" t="n"/>
      <c r="E30" s="441" t="n"/>
      <c r="F30" s="57" t="n"/>
      <c r="G30" s="65" t="n"/>
      <c r="H30" s="438" t="n"/>
      <c r="I30" s="427" t="n"/>
      <c r="J30" s="57" t="n"/>
      <c r="K30" s="72" t="n"/>
      <c r="L30" s="61" t="n"/>
      <c r="M30" s="449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IF(B31="","",COUNTA($B$5:B31))</f>
        <v/>
      </c>
      <c r="B31" s="57" t="n"/>
      <c r="C31" s="441" t="n"/>
      <c r="D31" s="63" t="n"/>
      <c r="E31" s="441" t="n"/>
      <c r="F31" s="57" t="n"/>
      <c r="G31" s="188" t="n"/>
      <c r="H31" s="438" t="n"/>
      <c r="I31" s="427" t="n"/>
      <c r="J31" s="57" t="n"/>
      <c r="K31" s="73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  <c r="O31" s="449" t="n"/>
      <c r="P31" s="449" t="n"/>
      <c r="Q31" s="449" t="n"/>
    </row>
    <row r="32" ht="27" customHeight="1" s="462">
      <c r="A32" s="423">
        <f>IF(B32="","",COUNTA($B$5:B32))</f>
        <v/>
      </c>
      <c r="B32" s="57" t="n"/>
      <c r="C32" s="63" t="n"/>
      <c r="D32" s="64" t="n"/>
      <c r="E32" s="420" t="n"/>
      <c r="F32" s="57" t="n"/>
      <c r="G32" s="66" t="n"/>
      <c r="H32" s="438" t="n"/>
      <c r="I32" s="438" t="n"/>
      <c r="J32" s="420" t="n"/>
      <c r="K32" s="73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M32" s="449" t="n"/>
      <c r="N32" s="449" t="n"/>
      <c r="O32" s="449" t="n"/>
      <c r="P32" s="449" t="n"/>
      <c r="Q32" s="449" t="n"/>
    </row>
    <row r="33" ht="27" customHeight="1" s="462">
      <c r="A33" s="423">
        <f>IF(B33="","",COUNTA($B$5:B33))</f>
        <v/>
      </c>
      <c r="B33" s="57" t="n"/>
      <c r="C33" s="63" t="n"/>
      <c r="D33" s="64" t="n"/>
      <c r="E33" s="57" t="n"/>
      <c r="F33" s="57" t="n"/>
      <c r="G33" s="66" t="n"/>
      <c r="H33" s="438" t="n"/>
      <c r="I33" s="427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  <c r="O33" s="449" t="n"/>
      <c r="P33" s="449" t="n"/>
      <c r="Q33" s="449" t="n"/>
      <c r="R33" s="449" t="n"/>
    </row>
    <row r="34" ht="27" customHeight="1" s="462">
      <c r="A34" s="423">
        <f>IF(B34="","",COUNTA($B$5:B34))</f>
        <v/>
      </c>
      <c r="B34" s="57" t="n"/>
      <c r="C34" s="420" t="n"/>
      <c r="D34" s="63" t="n"/>
      <c r="E34" s="441" t="n"/>
      <c r="F34" s="57" t="n"/>
      <c r="G34" s="65" t="n"/>
      <c r="H34" s="438" t="n"/>
      <c r="I34" s="427" t="n"/>
      <c r="J34" s="57" t="n"/>
      <c r="K34" s="72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M34" s="449" t="n"/>
      <c r="N34" s="449" t="n"/>
      <c r="O34" s="449" t="n"/>
      <c r="P34" s="449" t="n"/>
      <c r="Q34" s="449" t="n"/>
    </row>
    <row r="35" ht="27" customHeight="1" s="462">
      <c r="A35" s="423">
        <f>IF(B35="","",COUNTA($B$5:B35))</f>
        <v/>
      </c>
      <c r="B35" s="57" t="n"/>
      <c r="C35" s="57" t="n"/>
      <c r="D35" s="441" t="n"/>
      <c r="E35" s="441" t="n"/>
      <c r="F35" s="57" t="n"/>
      <c r="G35" s="66" t="n"/>
      <c r="H35" s="438" t="n"/>
      <c r="I35" s="427" t="n"/>
      <c r="J35" s="57" t="n"/>
      <c r="K35" s="7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M35" s="449" t="n"/>
      <c r="N35" s="449" t="n"/>
      <c r="O35" s="449" t="n"/>
      <c r="P35" s="449" t="n"/>
      <c r="Q35" s="449" t="n"/>
    </row>
    <row r="36" ht="27.75" customHeight="1" s="462">
      <c r="A36" s="423">
        <f>IF(B36="","",COUNTA($B$5:B36))</f>
        <v/>
      </c>
      <c r="B36" s="441" t="n"/>
      <c r="C36" s="440" t="n"/>
      <c r="D36" s="441" t="n"/>
      <c r="E36" s="440" t="n"/>
      <c r="F36" s="57" t="n"/>
      <c r="G36" s="65" t="n"/>
      <c r="H36" s="438" t="n"/>
      <c r="I36" s="438" t="n"/>
      <c r="J36" s="420" t="n"/>
      <c r="K36" s="72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M36" s="449" t="n"/>
      <c r="N36" s="449" t="n"/>
      <c r="O36" s="449" t="n"/>
      <c r="P36" s="449" t="n"/>
      <c r="Q36" s="449" t="n"/>
    </row>
    <row r="37" ht="27" customHeight="1" s="462">
      <c r="A37" s="423">
        <f>IF(B37="","",COUNTA($B$5:B37))</f>
        <v/>
      </c>
      <c r="B37" s="441" t="n"/>
      <c r="C37" s="63" t="n"/>
      <c r="D37" s="440" t="n"/>
      <c r="E37" s="441" t="n"/>
      <c r="F37" s="57" t="n"/>
      <c r="G37" s="59" t="n"/>
      <c r="H37" s="438" t="n"/>
      <c r="I37" s="427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M37" s="449" t="n"/>
      <c r="N37" s="449" t="n"/>
      <c r="O37" s="449" t="n"/>
      <c r="P37" s="449" t="n"/>
      <c r="Q37" s="449" t="n"/>
    </row>
    <row r="38" ht="27" customHeight="1" s="462">
      <c r="A38" s="423" t="n"/>
      <c r="B38" s="441" t="n"/>
      <c r="C38" s="63" t="n"/>
      <c r="D38" s="440" t="n"/>
      <c r="E38" s="441" t="n"/>
      <c r="F38" s="57" t="n"/>
      <c r="G38" s="59" t="n"/>
      <c r="H38" s="438" t="n"/>
      <c r="I38" s="427" t="n"/>
      <c r="J38" s="57" t="n"/>
      <c r="K38" s="73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M38" s="449" t="n"/>
      <c r="N38" s="449" t="n"/>
      <c r="O38" s="449" t="n"/>
      <c r="P38" s="449" t="n"/>
      <c r="Q38" s="449" t="n"/>
      <c r="R38" s="449" t="n"/>
    </row>
    <row r="39" ht="27" customHeight="1" s="462">
      <c r="A39" s="423">
        <f>IF(B39="","",COUNTA($B$5:B39))</f>
        <v/>
      </c>
      <c r="B39" s="441" t="n"/>
      <c r="C39" s="63" t="n"/>
      <c r="D39" s="440" t="n"/>
      <c r="E39" s="441" t="n"/>
      <c r="F39" s="57" t="n"/>
      <c r="G39" s="59" t="n"/>
      <c r="H39" s="438" t="n"/>
      <c r="I39" s="427" t="n"/>
      <c r="J39" s="57" t="n"/>
      <c r="K39" s="73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M39" s="449" t="n"/>
      <c r="N39" s="449" t="n"/>
      <c r="O39" s="449" t="n"/>
      <c r="P39" s="449" t="n"/>
      <c r="Q39" s="449" t="n"/>
      <c r="R39" s="449" t="n"/>
    </row>
    <row r="40" ht="27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74" t="n"/>
      <c r="I40" s="80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M40" s="449" t="n"/>
      <c r="N40" s="449" t="n"/>
      <c r="O40" s="449" t="n"/>
      <c r="P40" s="449" t="n"/>
      <c r="Q40" s="449" t="n"/>
      <c r="R40" s="449" t="n"/>
    </row>
    <row r="41" ht="27" customHeight="1" s="462">
      <c r="A41" s="423">
        <f>IF(B41="","",COUNTA($B$5:B41))</f>
        <v/>
      </c>
      <c r="B41" s="420" t="n"/>
      <c r="C41" s="420" t="n"/>
      <c r="D41" s="420" t="n"/>
      <c r="E41" s="420" t="n"/>
      <c r="F41" s="420" t="n"/>
      <c r="G41" s="69" t="n"/>
      <c r="H41" s="74" t="n"/>
      <c r="I41" s="74" t="n"/>
      <c r="J41" s="420" t="n"/>
      <c r="K41" s="22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M41" s="449" t="n"/>
      <c r="N41" s="449" t="n"/>
      <c r="O41" s="449" t="n"/>
      <c r="P41" s="449" t="n"/>
      <c r="Q41" s="449" t="n"/>
    </row>
    <row r="42" ht="27" customHeight="1" s="462">
      <c r="A42" s="423">
        <f>IF(B42="","",COUNTA($B$5:B42))</f>
        <v/>
      </c>
      <c r="B42" s="441" t="n"/>
      <c r="C42" s="63" t="n"/>
      <c r="D42" s="440" t="n"/>
      <c r="E42" s="441" t="n"/>
      <c r="F42" s="57" t="n"/>
      <c r="G42" s="59" t="n"/>
      <c r="H42" s="60" t="n"/>
      <c r="I42" s="60" t="n"/>
      <c r="J42" s="57" t="n"/>
      <c r="K42" s="73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61" t="n"/>
      <c r="M42" s="449" t="n"/>
      <c r="N42" s="449" t="n"/>
      <c r="O42" s="449" t="n"/>
      <c r="P42" s="449" t="n"/>
      <c r="Q42" s="449" t="n"/>
      <c r="R42" s="449" t="n"/>
    </row>
    <row r="43" ht="27" customHeight="1" s="462">
      <c r="A43" s="423">
        <f>IF(B43="","",COUNTA($B$5:B43))</f>
        <v/>
      </c>
      <c r="B43" s="441" t="n"/>
      <c r="C43" s="63" t="n"/>
      <c r="D43" s="440" t="n"/>
      <c r="E43" s="441" t="n"/>
      <c r="F43" s="57" t="n"/>
      <c r="G43" s="59" t="n"/>
      <c r="H43" s="60" t="n"/>
      <c r="I43" s="60" t="n"/>
      <c r="J43" s="57" t="n"/>
      <c r="K43" s="73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61" t="n"/>
      <c r="M43" s="449" t="n"/>
      <c r="N43" s="449" t="n"/>
      <c r="O43" s="449" t="n"/>
      <c r="P43" s="449" t="n"/>
      <c r="Q43" s="449" t="n"/>
      <c r="R43" s="449" t="n"/>
    </row>
    <row r="44" ht="27" customHeight="1" s="462">
      <c r="A44" s="423">
        <f>IF(B44="","",COUNTA($B$5:B44))</f>
        <v/>
      </c>
      <c r="B44" s="420" t="n"/>
      <c r="C44" s="420" t="n"/>
      <c r="D44" s="420" t="n"/>
      <c r="E44" s="420" t="n"/>
      <c r="F44" s="420" t="n"/>
      <c r="G44" s="69" t="n"/>
      <c r="H44" s="70" t="n"/>
      <c r="I44" s="70" t="n"/>
      <c r="J44" s="420" t="n"/>
      <c r="K44" s="22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61" t="n"/>
      <c r="M44" s="449" t="n"/>
      <c r="N44" s="449" t="n"/>
      <c r="O44" s="449" t="n"/>
      <c r="P44" s="449" t="n"/>
      <c r="Q44" s="449" t="n"/>
    </row>
    <row r="45">
      <c r="B45" s="18" t="n"/>
      <c r="C45" s="18" t="n"/>
      <c r="D45" s="18" t="n"/>
      <c r="E45" s="18" t="n"/>
      <c r="F45" s="18" t="n"/>
      <c r="G45" s="19" t="n"/>
      <c r="H45" s="33" t="n"/>
      <c r="I45" s="18" t="n"/>
      <c r="J45" s="18" t="n"/>
      <c r="K45" s="18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4.25" customHeight="1" s="462" thickBot="1">
      <c r="K46" s="2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>
      <c r="B47" s="22" t="n"/>
      <c r="C47" s="25" t="n"/>
      <c r="D47" s="25" t="inlineStr">
        <is>
          <t>現在待機場所</t>
        </is>
      </c>
      <c r="E47" s="25" t="inlineStr">
        <is>
          <t>待機予定場所</t>
        </is>
      </c>
      <c r="F47" s="466" t="n"/>
      <c r="H47" s="375" t="inlineStr">
        <is>
          <t>目標距離</t>
        </is>
      </c>
      <c r="I47" s="465" t="n"/>
      <c r="J47" s="467" t="n"/>
      <c r="K47" s="377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4.25" customHeight="1" s="462" thickBot="1">
      <c r="B48" s="26" t="inlineStr">
        <is>
          <t>2(255)</t>
        </is>
      </c>
      <c r="C48" s="21" t="inlineStr">
        <is>
          <t>山岸</t>
        </is>
      </c>
      <c r="D48" s="34" t="n"/>
      <c r="E48" s="34" t="n"/>
      <c r="F48" s="466" t="n"/>
      <c r="H48" s="468" t="n"/>
      <c r="I48" s="477" t="n"/>
      <c r="J48" s="469" t="n"/>
      <c r="K48" s="470" t="n"/>
    </row>
    <row r="49">
      <c r="B49" s="26" t="inlineStr">
        <is>
          <t>8(254)</t>
        </is>
      </c>
      <c r="C49" s="21" t="inlineStr">
        <is>
          <t>砂川</t>
        </is>
      </c>
      <c r="D49" s="35" t="n"/>
      <c r="E49" s="35" t="n"/>
      <c r="F49" s="466" t="n"/>
      <c r="H49" s="368" t="inlineStr">
        <is>
          <t>残距離</t>
        </is>
      </c>
      <c r="J49" s="471" t="n"/>
      <c r="K49" s="354">
        <f t="array" ref="K49">IF(OR(H49="",L49=""),"",IFERROR(_xlfn.LET(_xlpm.vt,VLOOKUP(IFERROR(VALUE(LEFT(H49,FIND("＊",H49&amp;"＊")-1)),H49),運賃マスター!$A$22:$B$40,2,FALSE),_xlpm.d,L49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50" ht="14.25" customHeight="1" s="462" thickBot="1">
      <c r="B50" s="26" t="inlineStr">
        <is>
          <t>9(256)</t>
        </is>
      </c>
      <c r="C50" s="21" t="inlineStr">
        <is>
          <t>前川</t>
        </is>
      </c>
      <c r="D50" s="35" t="n"/>
      <c r="E50" s="35" t="n"/>
      <c r="F50" s="466" t="n"/>
      <c r="H50" s="468" t="n"/>
      <c r="I50" s="477" t="n"/>
      <c r="J50" s="469" t="n"/>
      <c r="K50" s="472" t="n"/>
    </row>
    <row r="51" ht="14.25" customHeight="1" s="462" thickBot="1">
      <c r="B51" s="26" t="inlineStr">
        <is>
          <t>10(257)</t>
        </is>
      </c>
      <c r="C51" s="35" t="n"/>
      <c r="D51" s="35" t="n"/>
      <c r="E51" s="35" t="n"/>
      <c r="F51" s="466" t="n"/>
      <c r="K51" s="2" t="n"/>
    </row>
    <row r="52">
      <c r="B52" s="26" t="inlineStr">
        <is>
          <t>11(258)</t>
        </is>
      </c>
      <c r="C52" s="21" t="inlineStr">
        <is>
          <t>郡司</t>
        </is>
      </c>
      <c r="D52" s="35" t="n"/>
      <c r="E52" s="35" t="n"/>
      <c r="F52" s="466" t="n"/>
      <c r="H52" s="350" t="inlineStr">
        <is>
          <t>依頼件数</t>
        </is>
      </c>
      <c r="I52" s="465" t="n"/>
      <c r="J52" s="467" t="n"/>
      <c r="K52" s="354">
        <f>SUM(P3:P44)+SUM(SUM(#REF!))</f>
        <v/>
      </c>
    </row>
    <row r="53" ht="14.25" customHeight="1" s="462" thickBot="1">
      <c r="B53" s="26" t="inlineStr">
        <is>
          <t>12(736)</t>
        </is>
      </c>
      <c r="C53" s="21" t="n"/>
      <c r="D53" s="35" t="n"/>
      <c r="E53" s="35" t="n"/>
      <c r="F53" s="466" t="n"/>
      <c r="H53" s="468" t="n"/>
      <c r="I53" s="477" t="n"/>
      <c r="J53" s="469" t="n"/>
      <c r="K53" s="472" t="n"/>
    </row>
    <row r="54" ht="16.5" customHeight="1" s="462">
      <c r="B54" s="26" t="inlineStr">
        <is>
          <t>13(737)</t>
        </is>
      </c>
      <c r="C54" s="21" t="n"/>
      <c r="D54" s="35" t="n"/>
      <c r="E54" s="35" t="n"/>
      <c r="F54" s="466" t="n"/>
      <c r="H54" s="38" t="n"/>
      <c r="I54" s="38" t="n"/>
      <c r="J54" s="38" t="n"/>
      <c r="K54" s="39" t="n"/>
    </row>
    <row r="55" ht="16.5" customHeight="1" s="462">
      <c r="B55" s="40" t="inlineStr">
        <is>
          <t>14(738)</t>
        </is>
      </c>
      <c r="C55" s="21" t="inlineStr">
        <is>
          <t>辻井</t>
        </is>
      </c>
      <c r="D55" s="35" t="n"/>
      <c r="E55" s="35" t="n"/>
      <c r="F55" s="466" t="n"/>
      <c r="H55" s="38" t="n"/>
      <c r="I55" s="38" t="n"/>
      <c r="J55" s="38" t="n"/>
      <c r="K55" s="39" t="n"/>
    </row>
    <row r="56" ht="8.25" customHeight="1" s="462">
      <c r="B56" s="41" t="n"/>
      <c r="C56" s="42" t="n"/>
      <c r="D56" s="43" t="n"/>
      <c r="E56" s="44" t="n"/>
      <c r="F56" s="349" t="n"/>
      <c r="H56" s="38" t="n"/>
      <c r="I56" s="38" t="n"/>
      <c r="J56" s="38" t="n"/>
      <c r="K56" s="39" t="n"/>
    </row>
    <row r="57" ht="17.25" customHeight="1" s="462">
      <c r="B57" s="45" t="n">
        <v>7290</v>
      </c>
      <c r="C57" s="21" t="inlineStr">
        <is>
          <t>佐藤</t>
        </is>
      </c>
      <c r="D57" s="35" t="n"/>
      <c r="E57" s="348" t="n"/>
      <c r="F57" s="349" t="n"/>
      <c r="H57" s="38" t="n"/>
      <c r="I57" s="38" t="n"/>
      <c r="J57" s="38" t="n"/>
      <c r="K57" s="39" t="n"/>
    </row>
    <row r="58" ht="17.25" customHeight="1" s="462">
      <c r="B58" s="45" t="n">
        <v>7291</v>
      </c>
      <c r="C58" s="21" t="inlineStr">
        <is>
          <t>末次</t>
        </is>
      </c>
      <c r="D58" s="35" t="n"/>
      <c r="E58" s="348" t="n"/>
      <c r="F58" s="349" t="n"/>
      <c r="H58" s="38" t="n"/>
      <c r="I58" s="38" t="n"/>
      <c r="J58" s="38" t="n"/>
      <c r="K58" s="39" t="n"/>
    </row>
    <row r="59" ht="9" customHeight="1" s="462">
      <c r="B59" s="41" t="n"/>
      <c r="C59" s="42" t="n"/>
      <c r="D59" s="44" t="n"/>
      <c r="E59" s="44" t="n"/>
      <c r="F59" s="349" t="n"/>
      <c r="H59" s="38" t="n"/>
      <c r="I59" s="38" t="n"/>
      <c r="J59" s="38" t="n"/>
      <c r="K59" s="39" t="n"/>
    </row>
    <row r="60" ht="16.5" customHeight="1" s="462">
      <c r="B60" s="45" t="n">
        <v>333</v>
      </c>
      <c r="C60" s="21" t="inlineStr">
        <is>
          <t>金井/奥田</t>
        </is>
      </c>
      <c r="D60" s="35" t="n"/>
      <c r="E60" s="484" t="n"/>
      <c r="F60" s="469" t="n"/>
      <c r="H60" s="38" t="n"/>
      <c r="I60" s="38" t="n"/>
      <c r="J60" s="38" t="n"/>
      <c r="K60" s="39" t="n"/>
    </row>
    <row r="61" ht="16.5" customHeight="1" s="462">
      <c r="B61" s="46" t="n">
        <v>666</v>
      </c>
      <c r="C61" s="21" t="inlineStr">
        <is>
          <t>徳留</t>
        </is>
      </c>
      <c r="D61" s="35" t="n"/>
      <c r="E61" s="35" t="n"/>
      <c r="F61" s="466" t="n"/>
      <c r="H61" s="38" t="n"/>
      <c r="I61" s="38" t="n"/>
      <c r="J61" s="38" t="n"/>
      <c r="K61" s="39" t="n"/>
    </row>
    <row r="62" ht="16.5" customHeight="1" s="462">
      <c r="B62" s="46" t="n">
        <v>777</v>
      </c>
      <c r="C62" s="21" t="n"/>
      <c r="D62" s="35" t="n"/>
      <c r="E62" s="348" t="n"/>
      <c r="F62" s="349" t="n"/>
      <c r="H62" s="38" t="n"/>
      <c r="I62" s="38" t="n"/>
      <c r="J62" s="38" t="n"/>
      <c r="K62" s="39" t="n"/>
    </row>
    <row r="63" ht="16.5" customHeight="1" s="462">
      <c r="B63" s="47" t="n">
        <v>330</v>
      </c>
      <c r="C63" s="21" t="n"/>
      <c r="D63" s="35" t="n"/>
      <c r="E63" s="35" t="n"/>
      <c r="F63" s="466" t="n"/>
      <c r="H63" s="38" t="n"/>
      <c r="I63" s="38" t="n"/>
      <c r="J63" s="38" t="n"/>
      <c r="K63" s="39" t="n"/>
    </row>
    <row r="64" ht="16.5" customHeight="1" s="462">
      <c r="B64" s="47" t="n">
        <v>990</v>
      </c>
      <c r="C64" s="21" t="inlineStr">
        <is>
          <t>山原</t>
        </is>
      </c>
      <c r="D64" s="35" t="n"/>
      <c r="E64" s="35" t="n"/>
      <c r="F64" s="466" t="n"/>
      <c r="H64" s="38" t="n"/>
      <c r="I64" s="38" t="n"/>
      <c r="J64" s="38" t="n"/>
      <c r="K64" s="39" t="n"/>
    </row>
    <row r="65">
      <c r="K65" s="2" t="n"/>
    </row>
    <row r="66">
      <c r="C66" s="449" t="inlineStr">
        <is>
          <t>出発→到着</t>
        </is>
      </c>
      <c r="D66" s="420" t="inlineStr">
        <is>
          <t>備考</t>
        </is>
      </c>
      <c r="K66" s="2" t="n"/>
    </row>
    <row r="67">
      <c r="B67" s="27" t="inlineStr">
        <is>
          <t>①</t>
        </is>
      </c>
      <c r="C67" s="449" t="inlineStr">
        <is>
          <t>東→西</t>
        </is>
      </c>
      <c r="D67" s="485" t="inlineStr">
        <is>
          <t>①Aチーム優先</t>
        </is>
      </c>
      <c r="E67" s="486" t="n"/>
      <c r="F67" s="486" t="n"/>
      <c r="G67" s="486" t="n"/>
      <c r="H67" s="486" t="n"/>
      <c r="I67" s="486" t="n"/>
      <c r="J67" s="466" t="n"/>
      <c r="K67" s="2" t="n"/>
    </row>
    <row r="68">
      <c r="B68" s="27" t="inlineStr">
        <is>
          <t>②</t>
        </is>
      </c>
      <c r="C68" s="449" t="inlineStr">
        <is>
          <t>東→東</t>
        </is>
      </c>
      <c r="D68" s="485" t="inlineStr">
        <is>
          <t>②急ぎ案件の場合、道路状況も伝えてあげる。</t>
        </is>
      </c>
      <c r="E68" s="486" t="n"/>
      <c r="F68" s="486" t="n"/>
      <c r="G68" s="486" t="n"/>
      <c r="H68" s="486" t="n"/>
      <c r="I68" s="486" t="n"/>
      <c r="J68" s="466" t="n"/>
      <c r="K68" s="2" t="n"/>
    </row>
    <row r="69">
      <c r="B69" s="27" t="inlineStr">
        <is>
          <t>③</t>
        </is>
      </c>
      <c r="C69" s="449" t="inlineStr">
        <is>
          <t>西→東</t>
        </is>
      </c>
      <c r="D69" s="485" t="inlineStr">
        <is>
          <t>③各ドライバーの位置からの帰社のタイミング・夕方の配置</t>
        </is>
      </c>
      <c r="E69" s="486" t="n"/>
      <c r="F69" s="486" t="n"/>
      <c r="G69" s="486" t="n"/>
      <c r="H69" s="486" t="n"/>
      <c r="I69" s="486" t="n"/>
      <c r="J69" s="466" t="n"/>
      <c r="K69" s="2" t="n"/>
    </row>
    <row r="70">
      <c r="B70" s="27" t="inlineStr">
        <is>
          <t>④</t>
        </is>
      </c>
      <c r="C70" s="449" t="inlineStr">
        <is>
          <t>西→西</t>
        </is>
      </c>
      <c r="D70" s="485" t="inlineStr">
        <is>
          <t>④依頼を受ける際の、希望時間と現状の位置。行けるか行けないかの判断をしっかりと。</t>
        </is>
      </c>
      <c r="E70" s="486" t="n"/>
      <c r="F70" s="486" t="n"/>
      <c r="G70" s="486" t="n"/>
      <c r="H70" s="486" t="n"/>
      <c r="I70" s="486" t="n"/>
      <c r="J70" s="466" t="n"/>
      <c r="K70" s="2" t="n"/>
    </row>
    <row r="71">
      <c r="D71" s="485" t="inlineStr">
        <is>
          <t>⑤軽に乗るか乗らないかの判断に気を付ける。</t>
        </is>
      </c>
      <c r="E71" s="486" t="n"/>
      <c r="F71" s="486" t="n"/>
      <c r="G71" s="486" t="n"/>
      <c r="H71" s="486" t="n"/>
      <c r="I71" s="486" t="n"/>
      <c r="J71" s="466" t="n"/>
      <c r="K71" s="2" t="n"/>
    </row>
    <row r="72">
      <c r="B72" s="22" t="n"/>
      <c r="C72" s="420" t="inlineStr">
        <is>
          <t>現状配置(予測)</t>
        </is>
      </c>
      <c r="D72" s="485" t="inlineStr">
        <is>
          <t>⑥18/1日、1.8/1人、3件/1人</t>
        </is>
      </c>
      <c r="E72" s="486" t="n"/>
      <c r="F72" s="486" t="n"/>
      <c r="G72" s="486" t="n"/>
      <c r="H72" s="486" t="n"/>
      <c r="I72" s="486" t="n"/>
      <c r="J72" s="466" t="n"/>
      <c r="K72" s="2" t="n"/>
    </row>
    <row r="73">
      <c r="B73" s="420" t="inlineStr">
        <is>
          <t>西(神戸西・弥栄台)</t>
        </is>
      </c>
      <c r="C73" s="420" t="n"/>
      <c r="D73" s="485" t="inlineStr">
        <is>
          <t>⑦依頼書の見落とし(日付、入替、入出庫、場所）</t>
        </is>
      </c>
      <c r="E73" s="486" t="n"/>
      <c r="F73" s="486" t="n"/>
      <c r="G73" s="486" t="n"/>
      <c r="H73" s="486" t="n"/>
      <c r="I73" s="486" t="n"/>
      <c r="J73" s="466" t="n"/>
      <c r="K73" s="2" t="n"/>
    </row>
    <row r="74">
      <c r="B74" s="420" t="inlineStr">
        <is>
          <t>真ん中(摩耶・中央)</t>
        </is>
      </c>
      <c r="C74" s="420" t="n"/>
      <c r="D74" s="485" t="inlineStr">
        <is>
          <t>⑧3ｔ車と2ｔ車への振り方(西と東に振り分ける)</t>
        </is>
      </c>
      <c r="E74" s="486" t="n"/>
      <c r="F74" s="486" t="n"/>
      <c r="G74" s="486" t="n"/>
      <c r="H74" s="486" t="n"/>
      <c r="I74" s="486" t="n"/>
      <c r="J74" s="466" t="n"/>
      <c r="K74" s="2" t="n"/>
    </row>
    <row r="75">
      <c r="B75" s="420" t="inlineStr">
        <is>
          <t>東(尼崎・伊丹・西宮)</t>
        </is>
      </c>
      <c r="C75" s="420" t="n"/>
      <c r="D75" s="485" t="inlineStr">
        <is>
          <t>⑨</t>
        </is>
      </c>
      <c r="E75" s="486" t="n"/>
      <c r="F75" s="486" t="n"/>
      <c r="G75" s="486" t="n"/>
      <c r="H75" s="486" t="n"/>
      <c r="I75" s="486" t="n"/>
      <c r="J75" s="466" t="n"/>
      <c r="K75" s="2" t="n"/>
    </row>
    <row r="76">
      <c r="B76" s="48" t="inlineStr">
        <is>
          <t>極東(港区・淀屋橋)</t>
        </is>
      </c>
      <c r="C76" s="420" t="n"/>
      <c r="D76" s="49" t="n"/>
      <c r="E76" s="49" t="n"/>
      <c r="F76" s="49" t="n"/>
      <c r="G76" s="49" t="n"/>
      <c r="H76" s="49" t="n"/>
      <c r="I76" s="49" t="n"/>
      <c r="J76" s="49" t="n"/>
      <c r="K76" s="2" t="n"/>
    </row>
    <row r="77" ht="14.25" customHeight="1" s="462" thickBot="1">
      <c r="K77" s="2" t="n"/>
    </row>
    <row r="78">
      <c r="C78" s="473" t="inlineStr">
        <is>
          <t>合計額/380</t>
        </is>
      </c>
      <c r="D78" s="358">
        <f>SUM(G78)</f>
        <v/>
      </c>
      <c r="F78" s="360" t="inlineStr">
        <is>
          <t>売り上げ額</t>
        </is>
      </c>
      <c r="G78" s="362">
        <f>SUM(SUM(K4:K44))+SUM(#REF!)</f>
        <v/>
      </c>
      <c r="H78" s="465" t="n"/>
      <c r="I78" s="465" t="n"/>
      <c r="J78" s="467" t="n"/>
      <c r="K78" s="2" t="n"/>
    </row>
    <row r="79" ht="14.25" customHeight="1" s="462" thickBot="1">
      <c r="C79" s="474" t="n"/>
      <c r="D79" s="475" t="n"/>
      <c r="F79" s="468" t="n"/>
      <c r="G79" s="476" t="n"/>
      <c r="H79" s="477" t="n"/>
      <c r="I79" s="477" t="n"/>
      <c r="J79" s="469" t="n"/>
      <c r="K79" s="2" t="n"/>
    </row>
    <row r="80">
      <c r="C80" s="478" t="inlineStr">
        <is>
          <t>前日までの売上合計額</t>
        </is>
      </c>
      <c r="D80" s="479">
        <f>SUM(B89)</f>
        <v/>
      </c>
      <c r="K80" s="2" t="n"/>
    </row>
    <row r="81" ht="14.25" customHeight="1" s="462" thickBot="1">
      <c r="C81" s="480" t="n"/>
      <c r="D81" s="480" t="n"/>
      <c r="F81" s="420" t="inlineStr">
        <is>
          <t>金井（55)</t>
        </is>
      </c>
      <c r="G81" s="345" t="n"/>
      <c r="H81" s="466" t="n"/>
      <c r="I81" s="130" t="n"/>
      <c r="K81" s="2" t="n"/>
    </row>
    <row r="82" ht="14.25" customHeight="1" s="462" thickTop="1">
      <c r="D82" s="346">
        <f>D78+D80</f>
        <v/>
      </c>
      <c r="F82" s="420" t="inlineStr">
        <is>
          <t>粟津(55)</t>
        </is>
      </c>
      <c r="G82" s="340" t="n"/>
      <c r="H82" s="466" t="n"/>
      <c r="I82" s="131" t="n"/>
      <c r="K82" s="2" t="n"/>
    </row>
    <row r="83">
      <c r="F83" s="420" t="inlineStr">
        <is>
          <t>砂川(50)</t>
        </is>
      </c>
      <c r="G83" s="340" t="n"/>
      <c r="H83" s="466" t="n"/>
      <c r="I83" s="131" t="n"/>
      <c r="K83" s="2" t="n"/>
    </row>
    <row r="84">
      <c r="C84" s="2" t="inlineStr">
        <is>
          <t>高代</t>
        </is>
      </c>
      <c r="F84" s="420" t="inlineStr">
        <is>
          <t>前川(50)</t>
        </is>
      </c>
      <c r="G84" s="340" t="n"/>
      <c r="H84" s="466" t="n"/>
      <c r="I84" s="131" t="n"/>
      <c r="K84" s="2" t="n"/>
    </row>
    <row r="85">
      <c r="C85" s="2" t="inlineStr">
        <is>
          <t>返還代</t>
        </is>
      </c>
      <c r="F85" s="420" t="inlineStr">
        <is>
          <t>佐藤(50)</t>
        </is>
      </c>
      <c r="G85" s="345" t="n"/>
      <c r="H85" s="466" t="n"/>
      <c r="I85" s="130" t="n"/>
      <c r="K85" s="2" t="n"/>
    </row>
    <row r="86">
      <c r="C86" s="2" t="inlineStr">
        <is>
          <t>回収率</t>
        </is>
      </c>
      <c r="D86" s="50">
        <f>D85/D84</f>
        <v/>
      </c>
      <c r="F86" s="420" t="inlineStr">
        <is>
          <t>末次(55)</t>
        </is>
      </c>
      <c r="G86" s="340" t="n"/>
      <c r="H86" s="466" t="n"/>
      <c r="I86" s="131" t="n"/>
      <c r="K86" s="2" t="n"/>
    </row>
    <row r="87">
      <c r="C87" s="2" t="inlineStr">
        <is>
          <t>費</t>
        </is>
      </c>
      <c r="D87" s="2">
        <f>D84-D85</f>
        <v/>
      </c>
      <c r="F87" s="420" t="inlineStr">
        <is>
          <t>筒井(75)</t>
        </is>
      </c>
      <c r="G87" s="340" t="n"/>
      <c r="H87" s="466" t="n"/>
      <c r="I87" s="131" t="n"/>
      <c r="K87" s="2" t="n"/>
    </row>
    <row r="88">
      <c r="F88" s="420" t="inlineStr">
        <is>
          <t>山岸(40)</t>
        </is>
      </c>
      <c r="G88" s="340" t="n"/>
      <c r="H88" s="466" t="n"/>
      <c r="I88" s="131" t="n"/>
      <c r="K88" s="2" t="n"/>
    </row>
    <row r="89" ht="23.25" customHeight="1" s="462">
      <c r="B89" s="71" t="n"/>
      <c r="F89" s="420" t="inlineStr">
        <is>
          <t>多苗(30)</t>
        </is>
      </c>
      <c r="G89" s="340" t="n"/>
      <c r="H89" s="466" t="n"/>
      <c r="I89" s="131" t="n"/>
      <c r="K89" s="2" t="n"/>
      <c r="L89" s="2" t="inlineStr">
        <is>
          <t> </t>
        </is>
      </c>
    </row>
    <row r="90">
      <c r="K90" s="2" t="n"/>
    </row>
    <row r="91">
      <c r="K91" s="2" t="n"/>
    </row>
  </sheetData>
  <mergeCells count="58">
    <mergeCell ref="D71:J71"/>
    <mergeCell ref="E50:F50"/>
    <mergeCell ref="G81:H81"/>
    <mergeCell ref="Q7:R7"/>
    <mergeCell ref="Q3:R3"/>
    <mergeCell ref="E55:F55"/>
    <mergeCell ref="G86:H86"/>
    <mergeCell ref="D74:J74"/>
    <mergeCell ref="Q37:R37"/>
    <mergeCell ref="D68:J68"/>
    <mergeCell ref="D80:D81"/>
    <mergeCell ref="D73:J73"/>
    <mergeCell ref="E52:F52"/>
    <mergeCell ref="E48:F48"/>
    <mergeCell ref="G78:J79"/>
    <mergeCell ref="D67:J67"/>
    <mergeCell ref="E64:F64"/>
    <mergeCell ref="G82:H82"/>
    <mergeCell ref="C80:C81"/>
    <mergeCell ref="B2:C2"/>
    <mergeCell ref="E51:F51"/>
    <mergeCell ref="Q5:R5"/>
    <mergeCell ref="K47:K48"/>
    <mergeCell ref="E63:F63"/>
    <mergeCell ref="D69:J69"/>
    <mergeCell ref="D78:D79"/>
    <mergeCell ref="Q10:R10"/>
    <mergeCell ref="E60:F60"/>
    <mergeCell ref="Q35:R35"/>
    <mergeCell ref="Q4:R4"/>
    <mergeCell ref="Q31:R31"/>
    <mergeCell ref="G87:H87"/>
    <mergeCell ref="E47:F47"/>
    <mergeCell ref="G83:H83"/>
    <mergeCell ref="Q34:R34"/>
    <mergeCell ref="K52:K53"/>
    <mergeCell ref="H49:J50"/>
    <mergeCell ref="E49:F49"/>
    <mergeCell ref="H52:J53"/>
    <mergeCell ref="Q44:R44"/>
    <mergeCell ref="C78:C79"/>
    <mergeCell ref="G89:H89"/>
    <mergeCell ref="E61:F61"/>
    <mergeCell ref="Q36:R36"/>
    <mergeCell ref="G88:H88"/>
    <mergeCell ref="E54:F54"/>
    <mergeCell ref="D70:J70"/>
    <mergeCell ref="G85:H85"/>
    <mergeCell ref="D82:D83"/>
    <mergeCell ref="D75:J75"/>
    <mergeCell ref="F78:F79"/>
    <mergeCell ref="Q32:R32"/>
    <mergeCell ref="E53:F53"/>
    <mergeCell ref="H47:J48"/>
    <mergeCell ref="D72:J72"/>
    <mergeCell ref="Q41:R41"/>
    <mergeCell ref="G84:H84"/>
    <mergeCell ref="K49:K50"/>
  </mergeCells>
  <conditionalFormatting sqref="K49:K50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42:L44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41">
    <cfRule type="cellIs" priority="1" operator="greaterThan" dxfId="0">
      <formula>30</formula>
    </cfRule>
  </conditionalFormatting>
  <conditionalFormatting sqref="D5:D52">
    <cfRule type="containsText" priority="7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47"/>
</worksheet>
</file>

<file path=xl/worksheets/sheet45.xml><?xml version="1.0" encoding="utf-8"?>
<worksheet xmlns="http://schemas.openxmlformats.org/spreadsheetml/2006/main">
  <sheetPr codeName="Sheet45">
    <tabColor rgb="FFFF0000"/>
    <outlinePr summaryBelow="1" summaryRight="1"/>
    <pageSetUpPr/>
  </sheetPr>
  <dimension ref="A1:R75"/>
  <sheetViews>
    <sheetView zoomScaleNormal="100" workbookViewId="0">
      <selection activeCell="K7" sqref="K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outlineLevel="1" width="20.25" customWidth="1" style="77" min="11" max="11"/>
    <col width="8.75" customWidth="1" style="2" min="12" max="16384"/>
  </cols>
  <sheetData>
    <row r="1"/>
    <row r="2" ht="26.25" customHeight="1" s="462" thickBot="1">
      <c r="B2" s="490" t="n">
        <v>46197</v>
      </c>
      <c r="C2" s="463" t="n"/>
      <c r="D2" s="2" t="inlineStr">
        <is>
          <t>NO.2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4" t="n"/>
      <c r="D13" s="441" t="n"/>
      <c r="E13" s="63" t="n"/>
      <c r="F13" s="441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2" t="n"/>
      <c r="D20" s="63" t="n"/>
      <c r="E20" s="441" t="n"/>
      <c r="F20" s="57" t="n"/>
      <c r="G20" s="66" t="n"/>
      <c r="H20" s="74" t="n"/>
      <c r="I20" s="8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57" t="n"/>
      <c r="G21" s="66" t="n"/>
      <c r="H21" s="74" t="n"/>
      <c r="I21" s="74" t="n"/>
      <c r="J21" s="420" t="n"/>
      <c r="K21" s="73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57" t="n"/>
      <c r="C22" s="420" t="n"/>
      <c r="D22" s="63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57" t="n"/>
      <c r="C23" s="57" t="n"/>
      <c r="D23" s="441" t="n"/>
      <c r="E23" s="441" t="n"/>
      <c r="F23" s="57" t="n"/>
      <c r="G23" s="66" t="n"/>
      <c r="H23" s="74" t="n"/>
      <c r="I23" s="80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441" t="n"/>
      <c r="C24" s="440" t="n"/>
      <c r="D24" s="441" t="n"/>
      <c r="E24" s="440" t="n"/>
      <c r="F24" s="57" t="n"/>
      <c r="G24" s="65" t="n"/>
      <c r="H24" s="74" t="n"/>
      <c r="I24" s="74" t="n"/>
      <c r="J24" s="420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441" t="n"/>
      <c r="C26" s="63" t="n"/>
      <c r="D26" s="440" t="n"/>
      <c r="E26" s="441" t="n"/>
      <c r="F26" s="57" t="n"/>
      <c r="G26" s="59" t="n"/>
      <c r="H26" s="60" t="n"/>
      <c r="I26" s="60" t="n"/>
      <c r="J26" s="57" t="n"/>
      <c r="K26" s="73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441" t="n"/>
      <c r="C27" s="63" t="n"/>
      <c r="D27" s="440" t="n"/>
      <c r="E27" s="441" t="n"/>
      <c r="F27" s="57" t="n"/>
      <c r="G27" s="59" t="n"/>
      <c r="H27" s="60" t="n"/>
      <c r="I27" s="60" t="n"/>
      <c r="J27" s="57" t="n"/>
      <c r="K27" s="73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  <c r="R27" s="449" t="n"/>
    </row>
    <row r="28" ht="27.75" customHeight="1" s="462">
      <c r="A28" s="423">
        <f>IF(B28="","",COUNTA($B$5:B28))</f>
        <v/>
      </c>
      <c r="B28" s="420" t="n"/>
      <c r="C28" s="420" t="n"/>
      <c r="D28" s="420" t="n"/>
      <c r="E28" s="420" t="n"/>
      <c r="F28" s="420" t="n"/>
      <c r="G28" s="69" t="n"/>
      <c r="H28" s="70" t="n"/>
      <c r="I28" s="70" t="n"/>
      <c r="J28" s="420" t="n"/>
      <c r="K28" s="2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</row>
    <row r="29" ht="27" customHeight="1" s="462">
      <c r="B29" s="18" t="n"/>
      <c r="C29" s="18" t="n"/>
      <c r="D29" s="18" t="n"/>
      <c r="E29" s="18" t="n"/>
      <c r="F29" s="18" t="n"/>
      <c r="G29" s="19" t="n"/>
      <c r="H29" s="33" t="n"/>
      <c r="I29" s="18" t="n"/>
      <c r="J29" s="18" t="n"/>
      <c r="K29" s="18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0" ht="27" customHeight="1" s="462" thickBot="1">
      <c r="K30" s="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1" ht="27" customHeight="1" s="462">
      <c r="B31" s="22" t="n"/>
      <c r="C31" s="25" t="n"/>
      <c r="D31" s="25" t="inlineStr">
        <is>
          <t>現在待機場所</t>
        </is>
      </c>
      <c r="E31" s="25" t="inlineStr">
        <is>
          <t>待機予定場所</t>
        </is>
      </c>
      <c r="F31" s="466" t="n"/>
      <c r="H31" s="375" t="inlineStr">
        <is>
          <t>目標距離</t>
        </is>
      </c>
      <c r="I31" s="465" t="n"/>
      <c r="J31" s="467" t="n"/>
      <c r="K31" s="377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2" ht="27" customHeight="1" s="462" thickBot="1">
      <c r="B32" s="26" t="inlineStr">
        <is>
          <t>2(255)</t>
        </is>
      </c>
      <c r="C32" s="21" t="inlineStr">
        <is>
          <t>山岸</t>
        </is>
      </c>
      <c r="D32" s="34" t="n"/>
      <c r="E32" s="34" t="n"/>
      <c r="F32" s="466" t="n"/>
      <c r="H32" s="468" t="n"/>
      <c r="I32" s="477" t="n"/>
      <c r="J32" s="469" t="n"/>
      <c r="K32" s="470" t="n"/>
    </row>
    <row r="33">
      <c r="B33" s="26" t="inlineStr">
        <is>
          <t>8(254)</t>
        </is>
      </c>
      <c r="C33" s="21" t="inlineStr">
        <is>
          <t>砂川</t>
        </is>
      </c>
      <c r="D33" s="35" t="n"/>
      <c r="E33" s="35" t="n"/>
      <c r="F33" s="466" t="n"/>
      <c r="H33" s="368" t="inlineStr">
        <is>
          <t>残距離</t>
        </is>
      </c>
      <c r="J33" s="471" t="n"/>
      <c r="K33" s="354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4" ht="14.25" customHeight="1" s="462" thickBot="1">
      <c r="B34" s="26" t="inlineStr">
        <is>
          <t>9(256)</t>
        </is>
      </c>
      <c r="C34" s="21" t="inlineStr">
        <is>
          <t>前川</t>
        </is>
      </c>
      <c r="D34" s="35" t="n"/>
      <c r="E34" s="35" t="n"/>
      <c r="F34" s="466" t="n"/>
      <c r="H34" s="468" t="n"/>
      <c r="I34" s="477" t="n"/>
      <c r="J34" s="469" t="n"/>
      <c r="K34" s="472" t="n"/>
    </row>
    <row r="35" ht="14.25" customHeight="1" s="462" thickBot="1">
      <c r="B35" s="26" t="inlineStr">
        <is>
          <t>10(257)</t>
        </is>
      </c>
      <c r="C35" s="35" t="n"/>
      <c r="D35" s="35" t="n"/>
      <c r="E35" s="35" t="n"/>
      <c r="F35" s="466" t="n"/>
      <c r="K35" s="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6">
      <c r="B36" s="26" t="inlineStr">
        <is>
          <t>11(258)</t>
        </is>
      </c>
      <c r="C36" s="21" t="inlineStr">
        <is>
          <t>郡司</t>
        </is>
      </c>
      <c r="D36" s="35" t="n"/>
      <c r="E36" s="35" t="n"/>
      <c r="F36" s="466" t="n"/>
      <c r="H36" s="350" t="inlineStr">
        <is>
          <t>依頼件数</t>
        </is>
      </c>
      <c r="I36" s="465" t="n"/>
      <c r="J36" s="467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7" ht="14.25" customHeight="1" s="462" thickBot="1">
      <c r="B37" s="26" t="inlineStr">
        <is>
          <t>12(736)</t>
        </is>
      </c>
      <c r="C37" s="21" t="n"/>
      <c r="D37" s="35" t="n"/>
      <c r="E37" s="35" t="n"/>
      <c r="F37" s="466" t="n"/>
      <c r="H37" s="468" t="n"/>
      <c r="I37" s="477" t="n"/>
      <c r="J37" s="469" t="n"/>
      <c r="K37" s="472" t="n"/>
    </row>
    <row r="38" ht="17.25" customHeight="1" s="462">
      <c r="B38" s="26" t="inlineStr">
        <is>
          <t>13(737)</t>
        </is>
      </c>
      <c r="C38" s="21" t="n"/>
      <c r="D38" s="35" t="n"/>
      <c r="E38" s="35" t="n"/>
      <c r="F38" s="466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 ht="17.25" customHeight="1" s="462">
      <c r="B39" s="40" t="inlineStr">
        <is>
          <t>14(738)</t>
        </is>
      </c>
      <c r="C39" s="21" t="inlineStr">
        <is>
          <t>辻井</t>
        </is>
      </c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17.25" customHeight="1" s="462">
      <c r="B40" s="41" t="n"/>
      <c r="C40" s="42" t="n"/>
      <c r="D40" s="43" t="n"/>
      <c r="E40" s="44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1" ht="17.25" customHeight="1" s="462">
      <c r="B41" s="45" t="n">
        <v>7290</v>
      </c>
      <c r="C41" s="21" t="inlineStr">
        <is>
          <t>佐藤</t>
        </is>
      </c>
      <c r="D41" s="35" t="n"/>
      <c r="E41" s="348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2" ht="16.5" customHeight="1" s="462">
      <c r="B42" s="45" t="n">
        <v>7291</v>
      </c>
      <c r="C42" s="21" t="inlineStr">
        <is>
          <t>末次</t>
        </is>
      </c>
      <c r="D42" s="35" t="n"/>
      <c r="E42" s="348" t="n"/>
      <c r="F42" s="34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3" ht="16.5" customHeight="1" s="462">
      <c r="B43" s="41" t="n"/>
      <c r="C43" s="42" t="n"/>
      <c r="D43" s="44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4" ht="8.25" customHeight="1" s="462">
      <c r="B44" s="45" t="n">
        <v>333</v>
      </c>
      <c r="C44" s="21" t="inlineStr">
        <is>
          <t>金井/奥田</t>
        </is>
      </c>
      <c r="D44" s="35" t="n"/>
      <c r="E44" s="484" t="n"/>
      <c r="F44" s="46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5" ht="17.25" customHeight="1" s="462">
      <c r="B45" s="46" t="n">
        <v>666</v>
      </c>
      <c r="C45" s="21" t="inlineStr">
        <is>
          <t>徳留</t>
        </is>
      </c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7.25" customHeight="1" s="462">
      <c r="B46" s="46" t="n">
        <v>777</v>
      </c>
      <c r="C46" s="21" t="n"/>
      <c r="D46" s="35" t="n"/>
      <c r="E46" s="348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 ht="9" customHeight="1" s="462">
      <c r="B47" s="47" t="n">
        <v>330</v>
      </c>
      <c r="C47" s="21" t="n"/>
      <c r="D47" s="35" t="n"/>
      <c r="E47" s="35" t="n"/>
      <c r="F47" s="466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6.5" customHeight="1" s="462">
      <c r="B48" s="47" t="n">
        <v>990</v>
      </c>
      <c r="C48" s="21" t="inlineStr">
        <is>
          <t>山原</t>
        </is>
      </c>
      <c r="D48" s="35" t="n"/>
      <c r="E48" s="35" t="n"/>
      <c r="F48" s="466" t="n"/>
      <c r="H48" s="38" t="n"/>
      <c r="I48" s="38" t="n"/>
      <c r="J48" s="38" t="n"/>
      <c r="K48" s="39" t="n"/>
    </row>
    <row r="49" ht="16.5" customHeight="1" s="462">
      <c r="K49" s="2" t="n"/>
    </row>
    <row r="50" ht="16.5" customHeight="1" s="462">
      <c r="C50" s="449" t="inlineStr">
        <is>
          <t>出発→到着</t>
        </is>
      </c>
      <c r="D50" s="420" t="inlineStr">
        <is>
          <t>備考</t>
        </is>
      </c>
      <c r="K50" s="2" t="n"/>
    </row>
    <row r="51" ht="16.5" customHeight="1" s="462">
      <c r="B51" s="27" t="inlineStr">
        <is>
          <t>①</t>
        </is>
      </c>
      <c r="C51" s="449" t="inlineStr">
        <is>
          <t>東→西</t>
        </is>
      </c>
      <c r="D51" s="485" t="inlineStr">
        <is>
          <t>①Aチーム優先</t>
        </is>
      </c>
      <c r="E51" s="486" t="n"/>
      <c r="F51" s="486" t="n"/>
      <c r="G51" s="486" t="n"/>
      <c r="H51" s="486" t="n"/>
      <c r="I51" s="486" t="n"/>
      <c r="J51" s="466" t="n"/>
      <c r="K51" s="2" t="n"/>
    </row>
    <row r="52" ht="16.5" customHeight="1" s="462">
      <c r="B52" s="27" t="inlineStr">
        <is>
          <t>②</t>
        </is>
      </c>
      <c r="C52" s="449" t="inlineStr">
        <is>
          <t>東→東</t>
        </is>
      </c>
      <c r="D52" s="485" t="inlineStr">
        <is>
          <t>②急ぎ案件の場合、道路状況も伝えてあげる。</t>
        </is>
      </c>
      <c r="E52" s="486" t="n"/>
      <c r="F52" s="486" t="n"/>
      <c r="G52" s="486" t="n"/>
      <c r="H52" s="486" t="n"/>
      <c r="I52" s="486" t="n"/>
      <c r="J52" s="466" t="n"/>
      <c r="K52" s="2" t="n"/>
    </row>
    <row r="53">
      <c r="B53" s="27" t="inlineStr">
        <is>
          <t>③</t>
        </is>
      </c>
      <c r="C53" s="449" t="inlineStr">
        <is>
          <t>西→東</t>
        </is>
      </c>
      <c r="D53" s="485" t="inlineStr">
        <is>
          <t>③各ドライバーの位置からの帰社のタイミング・夕方の配置</t>
        </is>
      </c>
      <c r="E53" s="486" t="n"/>
      <c r="F53" s="486" t="n"/>
      <c r="G53" s="486" t="n"/>
      <c r="H53" s="486" t="n"/>
      <c r="I53" s="486" t="n"/>
      <c r="J53" s="466" t="n"/>
      <c r="K53" s="2" t="n"/>
    </row>
    <row r="54">
      <c r="B54" s="27" t="inlineStr">
        <is>
          <t>④</t>
        </is>
      </c>
      <c r="C54" s="449" t="inlineStr">
        <is>
          <t>西→西</t>
        </is>
      </c>
      <c r="D54" s="485" t="inlineStr">
        <is>
          <t>④依頼を受ける際の、希望時間と現状の位置。行けるか行けないかの判断をしっかりと。</t>
        </is>
      </c>
      <c r="E54" s="486" t="n"/>
      <c r="F54" s="486" t="n"/>
      <c r="G54" s="486" t="n"/>
      <c r="H54" s="486" t="n"/>
      <c r="I54" s="486" t="n"/>
      <c r="J54" s="466" t="n"/>
      <c r="K54" s="2" t="n"/>
    </row>
    <row r="55">
      <c r="D55" s="485" t="inlineStr">
        <is>
          <t>⑤軽に乗るか乗らないかの判断に気を付ける。</t>
        </is>
      </c>
      <c r="E55" s="486" t="n"/>
      <c r="F55" s="486" t="n"/>
      <c r="G55" s="486" t="n"/>
      <c r="H55" s="486" t="n"/>
      <c r="I55" s="486" t="n"/>
      <c r="J55" s="466" t="n"/>
      <c r="K55" s="2" t="n"/>
    </row>
    <row r="56">
      <c r="B56" s="22" t="n"/>
      <c r="C56" s="420" t="inlineStr">
        <is>
          <t>現状配置(予測)</t>
        </is>
      </c>
      <c r="D56" s="485" t="inlineStr">
        <is>
          <t>⑥18/1日、1.8/1人、3件/1人</t>
        </is>
      </c>
      <c r="E56" s="486" t="n"/>
      <c r="F56" s="486" t="n"/>
      <c r="G56" s="486" t="n"/>
      <c r="H56" s="486" t="n"/>
      <c r="I56" s="486" t="n"/>
      <c r="J56" s="466" t="n"/>
      <c r="K56" s="2" t="n"/>
    </row>
    <row r="57">
      <c r="B57" s="420" t="inlineStr">
        <is>
          <t>西(神戸西・弥栄台)</t>
        </is>
      </c>
      <c r="C57" s="420" t="n"/>
      <c r="D57" s="485" t="inlineStr">
        <is>
          <t>⑦依頼書の見落とし(日付、入替、入出庫、場所）</t>
        </is>
      </c>
      <c r="E57" s="486" t="n"/>
      <c r="F57" s="486" t="n"/>
      <c r="G57" s="486" t="n"/>
      <c r="H57" s="486" t="n"/>
      <c r="I57" s="486" t="n"/>
      <c r="J57" s="466" t="n"/>
      <c r="K57" s="2" t="n"/>
    </row>
    <row r="58">
      <c r="B58" s="420" t="inlineStr">
        <is>
          <t>真ん中(摩耶・中央)</t>
        </is>
      </c>
      <c r="C58" s="420" t="n"/>
      <c r="D58" s="485" t="inlineStr">
        <is>
          <t>⑧3ｔ車と2ｔ車への振り方(西と東に振り分ける)</t>
        </is>
      </c>
      <c r="E58" s="486" t="n"/>
      <c r="F58" s="486" t="n"/>
      <c r="G58" s="486" t="n"/>
      <c r="H58" s="486" t="n"/>
      <c r="I58" s="486" t="n"/>
      <c r="J58" s="466" t="n"/>
      <c r="K58" s="2" t="n"/>
    </row>
    <row r="59">
      <c r="B59" s="420" t="inlineStr">
        <is>
          <t>東(尼崎・伊丹・西宮)</t>
        </is>
      </c>
      <c r="C59" s="420" t="n"/>
      <c r="D59" s="485" t="inlineStr">
        <is>
          <t>⑨</t>
        </is>
      </c>
      <c r="E59" s="486" t="n"/>
      <c r="F59" s="486" t="n"/>
      <c r="G59" s="486" t="n"/>
      <c r="H59" s="486" t="n"/>
      <c r="I59" s="486" t="n"/>
      <c r="J59" s="466" t="n"/>
      <c r="K59" s="2" t="n"/>
    </row>
    <row r="60">
      <c r="B60" s="48" t="inlineStr">
        <is>
          <t>極東(港区・淀屋橋)</t>
        </is>
      </c>
      <c r="C60" s="420" t="n"/>
      <c r="D60" s="49" t="n"/>
      <c r="E60" s="49" t="n"/>
      <c r="F60" s="49" t="n"/>
      <c r="G60" s="49" t="n"/>
      <c r="H60" s="49" t="n"/>
      <c r="I60" s="49" t="n"/>
      <c r="J60" s="49" t="n"/>
      <c r="K60" s="2" t="n"/>
    </row>
    <row r="61" ht="14.25" customHeight="1" s="462" thickBot="1">
      <c r="K61" s="2" t="n"/>
    </row>
    <row r="62">
      <c r="C62" s="473" t="inlineStr">
        <is>
          <t>合計額/380</t>
        </is>
      </c>
      <c r="D62" s="358">
        <f>SUM(G62)</f>
        <v/>
      </c>
      <c r="F62" s="360" t="inlineStr">
        <is>
          <t>売り上げ額</t>
        </is>
      </c>
      <c r="G62" s="362">
        <f>SUM(SUM(K4:K28))+SUM(#REF!)</f>
        <v/>
      </c>
      <c r="H62" s="465" t="n"/>
      <c r="I62" s="465" t="n"/>
      <c r="J62" s="467" t="n"/>
      <c r="K62" s="2" t="n"/>
    </row>
    <row r="63" ht="14.25" customHeight="1" s="462" thickBot="1">
      <c r="C63" s="474" t="n"/>
      <c r="D63" s="475" t="n"/>
      <c r="F63" s="468" t="n"/>
      <c r="G63" s="476" t="n"/>
      <c r="H63" s="477" t="n"/>
      <c r="I63" s="477" t="n"/>
      <c r="J63" s="469" t="n"/>
      <c r="K63" s="2" t="n"/>
    </row>
    <row r="64">
      <c r="C64" s="478" t="inlineStr">
        <is>
          <t>前日までの売上合計額</t>
        </is>
      </c>
      <c r="D64" s="479">
        <f>SUM(B73)</f>
        <v/>
      </c>
      <c r="K64" s="2" t="n"/>
    </row>
    <row r="65" ht="14.25" customHeight="1" s="462" thickBot="1">
      <c r="C65" s="480" t="n"/>
      <c r="D65" s="480" t="n"/>
      <c r="F65" s="420" t="inlineStr">
        <is>
          <t>金井（55)</t>
        </is>
      </c>
      <c r="G65" s="345" t="n"/>
      <c r="H65" s="466" t="n"/>
      <c r="I65" s="130" t="n"/>
      <c r="K65" s="2" t="n"/>
    </row>
    <row r="66" ht="14.25" customHeight="1" s="462" thickTop="1">
      <c r="D66" s="346">
        <f>D62+D64</f>
        <v/>
      </c>
      <c r="F66" s="420" t="inlineStr">
        <is>
          <t>粟津(55)</t>
        </is>
      </c>
      <c r="G66" s="340" t="n"/>
      <c r="H66" s="466" t="n"/>
      <c r="I66" s="131" t="n"/>
      <c r="K66" s="2" t="n"/>
    </row>
    <row r="67">
      <c r="F67" s="420" t="inlineStr">
        <is>
          <t>砂川(50)</t>
        </is>
      </c>
      <c r="G67" s="340" t="n"/>
      <c r="H67" s="466" t="n"/>
      <c r="I67" s="131" t="n"/>
      <c r="K67" s="2" t="n"/>
    </row>
    <row r="68">
      <c r="C68" s="2" t="inlineStr">
        <is>
          <t>高代</t>
        </is>
      </c>
      <c r="F68" s="420" t="inlineStr">
        <is>
          <t>前川(50)</t>
        </is>
      </c>
      <c r="G68" s="340" t="n"/>
      <c r="H68" s="466" t="n"/>
      <c r="I68" s="131" t="n"/>
      <c r="K68" s="2" t="n"/>
    </row>
    <row r="69">
      <c r="C69" s="2" t="inlineStr">
        <is>
          <t>返還代</t>
        </is>
      </c>
      <c r="F69" s="420" t="inlineStr">
        <is>
          <t>佐藤(50)</t>
        </is>
      </c>
      <c r="G69" s="345" t="n"/>
      <c r="H69" s="466" t="n"/>
      <c r="I69" s="130" t="n"/>
      <c r="K69" s="2" t="n"/>
    </row>
    <row r="70">
      <c r="C70" s="2" t="inlineStr">
        <is>
          <t>回収率</t>
        </is>
      </c>
      <c r="D70" s="50">
        <f>D69/D68</f>
        <v/>
      </c>
      <c r="F70" s="420" t="inlineStr">
        <is>
          <t>末次(55)</t>
        </is>
      </c>
      <c r="G70" s="340" t="n"/>
      <c r="H70" s="466" t="n"/>
      <c r="I70" s="131" t="n"/>
      <c r="K70" s="2" t="n"/>
    </row>
    <row r="71">
      <c r="C71" s="2" t="inlineStr">
        <is>
          <t>費</t>
        </is>
      </c>
      <c r="D71" s="2">
        <f>D68-D69</f>
        <v/>
      </c>
      <c r="F71" s="420" t="inlineStr">
        <is>
          <t>筒井(75)</t>
        </is>
      </c>
      <c r="G71" s="340" t="n"/>
      <c r="H71" s="466" t="n"/>
      <c r="I71" s="131" t="n"/>
      <c r="K71" s="2" t="n"/>
    </row>
    <row r="72">
      <c r="F72" s="420" t="inlineStr">
        <is>
          <t>山岸(40)</t>
        </is>
      </c>
      <c r="G72" s="340" t="n"/>
      <c r="H72" s="466" t="n"/>
      <c r="I72" s="131" t="n"/>
      <c r="K72" s="2" t="n"/>
    </row>
    <row r="73" ht="17.25" customHeight="1" s="462">
      <c r="B73" s="71" t="n"/>
      <c r="F73" s="420" t="inlineStr">
        <is>
          <t>多苗(30)</t>
        </is>
      </c>
      <c r="G73" s="340" t="n"/>
      <c r="H73" s="466" t="n"/>
      <c r="I73" s="131" t="n"/>
      <c r="K73" s="2" t="n"/>
      <c r="L73" s="2" t="inlineStr">
        <is>
          <t> </t>
        </is>
      </c>
    </row>
    <row r="74">
      <c r="K74" s="2" t="n"/>
    </row>
    <row r="75">
      <c r="K75" s="2" t="n"/>
    </row>
    <row r="77" ht="23.25" customHeight="1" s="462"/>
  </sheetData>
  <mergeCells count="55">
    <mergeCell ref="K36:K37"/>
    <mergeCell ref="Q25:R25"/>
    <mergeCell ref="D56:J56"/>
    <mergeCell ref="Q3:R3"/>
    <mergeCell ref="Q21:R21"/>
    <mergeCell ref="K33:K34"/>
    <mergeCell ref="D58:J58"/>
    <mergeCell ref="E33:F33"/>
    <mergeCell ref="Q28:R28"/>
    <mergeCell ref="G71:H71"/>
    <mergeCell ref="Q24:R24"/>
    <mergeCell ref="G67:H67"/>
    <mergeCell ref="D55:J55"/>
    <mergeCell ref="E48:F48"/>
    <mergeCell ref="G70:H70"/>
    <mergeCell ref="E39:F39"/>
    <mergeCell ref="H33:J34"/>
    <mergeCell ref="D51:J51"/>
    <mergeCell ref="E44:F44"/>
    <mergeCell ref="E35:F35"/>
    <mergeCell ref="B2:C2"/>
    <mergeCell ref="E38:F38"/>
    <mergeCell ref="D54:J54"/>
    <mergeCell ref="G62:J63"/>
    <mergeCell ref="D66:D67"/>
    <mergeCell ref="D59:J59"/>
    <mergeCell ref="Q5:R5"/>
    <mergeCell ref="Q20:R20"/>
    <mergeCell ref="Q23:R23"/>
    <mergeCell ref="G66:H66"/>
    <mergeCell ref="K31:K32"/>
    <mergeCell ref="G69:H69"/>
    <mergeCell ref="E31:F31"/>
    <mergeCell ref="Q4:R4"/>
    <mergeCell ref="D62:D63"/>
    <mergeCell ref="E34:F34"/>
    <mergeCell ref="F62:F63"/>
    <mergeCell ref="H31:J32"/>
    <mergeCell ref="G68:H68"/>
    <mergeCell ref="D52:J52"/>
    <mergeCell ref="E45:F45"/>
    <mergeCell ref="D64:D65"/>
    <mergeCell ref="Q22:R22"/>
    <mergeCell ref="E36:F36"/>
    <mergeCell ref="D57:J57"/>
    <mergeCell ref="G65:H65"/>
    <mergeCell ref="H36:J37"/>
    <mergeCell ref="C62:C63"/>
    <mergeCell ref="G73:H73"/>
    <mergeCell ref="E32:F32"/>
    <mergeCell ref="D53:J53"/>
    <mergeCell ref="E37:F37"/>
    <mergeCell ref="C64:C65"/>
    <mergeCell ref="E47:F47"/>
    <mergeCell ref="G72:H72"/>
  </mergeCells>
  <conditionalFormatting sqref="L3:L28">
    <cfRule type="cellIs" priority="3" operator="greaterThan" dxfId="0">
      <formula>30</formula>
    </cfRule>
  </conditionalFormatting>
  <conditionalFormatting sqref="K33:K3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36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/>
</worksheet>
</file>

<file path=xl/worksheets/sheet46.xml><?xml version="1.0" encoding="utf-8"?>
<worksheet xmlns="http://schemas.openxmlformats.org/spreadsheetml/2006/main">
  <sheetPr codeName="Sheet47">
    <outlinePr summaryBelow="1" summaryRight="1"/>
    <pageSetUpPr/>
  </sheetPr>
  <dimension ref="A1:R82"/>
  <sheetViews>
    <sheetView zoomScaleNormal="100" workbookViewId="0">
      <selection activeCell="I5" sqref="I5"/>
    </sheetView>
  </sheetViews>
  <sheetFormatPr baseColWidth="8" defaultColWidth="8.75" defaultRowHeight="13.5"/>
  <cols>
    <col width="2.125" customWidth="1" style="1" min="1" max="1"/>
    <col width="17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18.875" customWidth="1" style="2" min="11" max="11"/>
    <col width="8.75" customWidth="1" style="2" min="12" max="16384"/>
  </cols>
  <sheetData>
    <row r="1"/>
    <row r="2" ht="15" customHeight="1" s="462" thickBot="1">
      <c r="B2" s="493" t="n">
        <v>46198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64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5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4" t="n"/>
      <c r="D13" s="441" t="n"/>
      <c r="E13" s="63" t="n"/>
      <c r="F13" s="441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36" customHeight="1" s="462">
      <c r="A14" s="423">
        <f>IF(B14="","",COUNTA($B$5:B14))</f>
        <v/>
      </c>
      <c r="B14" s="57" t="n"/>
      <c r="C14" s="63" t="n"/>
      <c r="D14" s="441" t="n"/>
      <c r="E14" s="64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2" t="n"/>
      <c r="D20" s="63" t="n"/>
      <c r="E20" s="441" t="n"/>
      <c r="F20" s="57" t="n"/>
      <c r="G20" s="66" t="n"/>
      <c r="H20" s="74" t="n"/>
      <c r="I20" s="8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57" t="n"/>
      <c r="G21" s="66" t="n"/>
      <c r="H21" s="74" t="n"/>
      <c r="I21" s="74" t="n"/>
      <c r="J21" s="420" t="n"/>
      <c r="K21" s="73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57" t="n"/>
      <c r="C22" s="420" t="n"/>
      <c r="D22" s="63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57" t="n"/>
      <c r="C23" s="57" t="n"/>
      <c r="D23" s="441" t="n"/>
      <c r="E23" s="441" t="n"/>
      <c r="F23" s="57" t="n"/>
      <c r="G23" s="66" t="n"/>
      <c r="H23" s="74" t="n"/>
      <c r="I23" s="80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441" t="n"/>
      <c r="C24" s="440" t="n"/>
      <c r="D24" s="441" t="n"/>
      <c r="E24" s="440" t="n"/>
      <c r="F24" s="57" t="n"/>
      <c r="G24" s="65" t="n"/>
      <c r="H24" s="74" t="n"/>
      <c r="I24" s="74" t="n"/>
      <c r="J24" s="420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441" t="n"/>
      <c r="C25" s="440" t="n"/>
      <c r="D25" s="441" t="n"/>
      <c r="E25" s="440" t="n"/>
      <c r="F25" s="57" t="n"/>
      <c r="G25" s="65" t="n"/>
      <c r="H25" s="80" t="n"/>
      <c r="I25" s="80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  <c r="R25" s="449" t="n"/>
    </row>
    <row r="26" ht="27" customHeight="1" s="462">
      <c r="A26" s="423">
        <f>IF(B26="","",COUNTA($B$5:B26))</f>
        <v/>
      </c>
      <c r="B26" s="441" t="n"/>
      <c r="C26" s="440" t="n"/>
      <c r="D26" s="441" t="n"/>
      <c r="E26" s="440" t="n"/>
      <c r="F26" s="57" t="n"/>
      <c r="G26" s="65" t="n"/>
      <c r="H26" s="80" t="n"/>
      <c r="I26" s="80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441" t="n"/>
      <c r="C27" s="440" t="n"/>
      <c r="D27" s="441" t="n"/>
      <c r="E27" s="440" t="n"/>
      <c r="F27" s="57" t="n"/>
      <c r="G27" s="65" t="n"/>
      <c r="H27" s="80" t="n"/>
      <c r="I27" s="80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  <c r="R27" s="449" t="n"/>
    </row>
    <row r="28" ht="27.75" customHeight="1" s="462">
      <c r="A28" s="423">
        <f>IF(B28="","",COUNTA($B$5:B28))</f>
        <v/>
      </c>
      <c r="B28" s="441" t="n"/>
      <c r="C28" s="440" t="n"/>
      <c r="D28" s="441" t="n"/>
      <c r="E28" s="440" t="n"/>
      <c r="F28" s="57" t="n"/>
      <c r="G28" s="65" t="n"/>
      <c r="H28" s="80" t="n"/>
      <c r="I28" s="80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  <c r="R28" s="449" t="n"/>
    </row>
    <row r="29" ht="27.75" customHeight="1" s="462">
      <c r="A29" s="423" t="n"/>
      <c r="B29" s="441" t="n"/>
      <c r="C29" s="440" t="n"/>
      <c r="D29" s="441" t="n"/>
      <c r="E29" s="440" t="n"/>
      <c r="F29" s="57" t="n"/>
      <c r="G29" s="65" t="n"/>
      <c r="H29" s="80" t="n"/>
      <c r="I29" s="80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  <c r="R29" s="449" t="n"/>
    </row>
    <row r="30" ht="27.75" customHeight="1" s="462">
      <c r="A30" s="423" t="n"/>
      <c r="B30" s="441" t="n"/>
      <c r="C30" s="440" t="n"/>
      <c r="D30" s="441" t="n"/>
      <c r="E30" s="440" t="n"/>
      <c r="F30" s="57" t="n"/>
      <c r="G30" s="65" t="n"/>
      <c r="H30" s="80" t="n"/>
      <c r="I30" s="80" t="n"/>
      <c r="J30" s="57" t="n"/>
      <c r="K30" s="7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M30" s="449" t="n"/>
      <c r="N30" s="449" t="n"/>
      <c r="O30" s="449" t="n"/>
      <c r="P30" s="449" t="n"/>
      <c r="Q30" s="449" t="n"/>
      <c r="R30" s="449" t="n"/>
    </row>
    <row r="31" ht="27.75" customHeight="1" s="462">
      <c r="A31" s="423" t="n"/>
      <c r="B31" s="441" t="n"/>
      <c r="C31" s="440" t="n"/>
      <c r="D31" s="441" t="n"/>
      <c r="E31" s="440" t="n"/>
      <c r="F31" s="57" t="n"/>
      <c r="G31" s="65" t="n"/>
      <c r="H31" s="80" t="n"/>
      <c r="I31" s="80" t="n"/>
      <c r="J31" s="57" t="n"/>
      <c r="K31" s="7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  <c r="O31" s="449" t="n"/>
      <c r="P31" s="449" t="n"/>
      <c r="Q31" s="449" t="n"/>
      <c r="R31" s="449" t="n"/>
    </row>
    <row r="32" ht="27.75" customHeight="1" s="462">
      <c r="A32" s="423" t="n"/>
      <c r="B32" s="441" t="n"/>
      <c r="C32" s="440" t="n"/>
      <c r="D32" s="441" t="n"/>
      <c r="E32" s="440" t="n"/>
      <c r="F32" s="57" t="n"/>
      <c r="G32" s="65" t="n"/>
      <c r="H32" s="80" t="n"/>
      <c r="I32" s="80" t="n"/>
      <c r="J32" s="57" t="n"/>
      <c r="K32" s="72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M32" s="449" t="n"/>
      <c r="N32" s="449" t="n"/>
      <c r="O32" s="449" t="n"/>
      <c r="P32" s="449" t="n"/>
      <c r="Q32" s="449" t="n"/>
      <c r="R32" s="449" t="n"/>
    </row>
    <row r="33" ht="27.75" customHeight="1" s="462">
      <c r="A33" s="423" t="n"/>
      <c r="B33" s="441" t="n"/>
      <c r="C33" s="440" t="n"/>
      <c r="D33" s="441" t="n"/>
      <c r="E33" s="440" t="n"/>
      <c r="F33" s="57" t="n"/>
      <c r="G33" s="65" t="n"/>
      <c r="H33" s="80" t="n"/>
      <c r="I33" s="80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  <c r="O33" s="449" t="n"/>
      <c r="P33" s="449" t="n"/>
      <c r="Q33" s="449" t="n"/>
      <c r="R33" s="449" t="n"/>
    </row>
    <row r="34" ht="27.75" customHeight="1" s="462">
      <c r="A34" s="423">
        <f>IF(B34="","",COUNTA($B$5:B34))</f>
        <v/>
      </c>
      <c r="B34" s="441" t="n"/>
      <c r="C34" s="63" t="n"/>
      <c r="D34" s="440" t="n"/>
      <c r="E34" s="441" t="n"/>
      <c r="F34" s="57" t="n"/>
      <c r="G34" s="59" t="n"/>
      <c r="H34" s="60" t="n"/>
      <c r="I34" s="60" t="n"/>
      <c r="J34" s="57" t="n"/>
      <c r="K34" s="73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M34" s="449" t="n"/>
      <c r="N34" s="449" t="n"/>
      <c r="O34" s="449" t="n"/>
      <c r="P34" s="449" t="n"/>
      <c r="Q34" s="449" t="n"/>
    </row>
    <row r="35" ht="27.75" customHeight="1" s="462">
      <c r="A35" s="423">
        <f>IF(B35="","",COUNTA($B$5:B35))</f>
        <v/>
      </c>
      <c r="B35" s="441" t="n"/>
      <c r="C35" s="63" t="n"/>
      <c r="D35" s="440" t="n"/>
      <c r="E35" s="441" t="n"/>
      <c r="F35" s="57" t="n"/>
      <c r="G35" s="59" t="n"/>
      <c r="H35" s="60" t="n"/>
      <c r="I35" s="60" t="n"/>
      <c r="J35" s="57" t="n"/>
      <c r="K35" s="73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M35" s="449" t="n"/>
      <c r="N35" s="449" t="n"/>
      <c r="O35" s="449" t="n"/>
      <c r="P35" s="449" t="n"/>
      <c r="Q35" s="449" t="n"/>
      <c r="R35" s="449" t="n"/>
    </row>
    <row r="36" ht="27.75" customHeight="1" s="462">
      <c r="A36" s="423">
        <f>IF(B36="","",COUNTA($B$5:B36))</f>
        <v/>
      </c>
      <c r="B36" s="441" t="n"/>
      <c r="C36" s="63" t="n"/>
      <c r="D36" s="440" t="n"/>
      <c r="E36" s="441" t="n"/>
      <c r="F36" s="57" t="n"/>
      <c r="G36" s="59" t="n"/>
      <c r="H36" s="60" t="n"/>
      <c r="I36" s="60" t="n"/>
      <c r="J36" s="57" t="n"/>
      <c r="K36" s="73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M36" s="449" t="n"/>
      <c r="N36" s="449" t="n"/>
      <c r="O36" s="449" t="n"/>
      <c r="P36" s="449" t="n"/>
      <c r="Q36" s="449" t="n"/>
      <c r="R36" s="449" t="n"/>
    </row>
    <row r="37" ht="27.75" customHeight="1" s="462">
      <c r="A37" s="423">
        <f>IF(B37="","",COUNTA($B$5:B37))</f>
        <v/>
      </c>
      <c r="B37" s="420" t="n"/>
      <c r="C37" s="420" t="n"/>
      <c r="D37" s="420" t="n"/>
      <c r="E37" s="420" t="n"/>
      <c r="F37" s="420" t="n"/>
      <c r="G37" s="69" t="n"/>
      <c r="H37" s="70" t="n"/>
      <c r="I37" s="70" t="n"/>
      <c r="J37" s="420" t="n"/>
      <c r="K37" s="22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M37" s="449" t="n"/>
      <c r="N37" s="449" t="n"/>
      <c r="O37" s="449" t="n"/>
      <c r="P37" s="449" t="n"/>
      <c r="Q37" s="449" t="n"/>
    </row>
    <row r="38" ht="27" customHeight="1" s="462">
      <c r="B38" s="18" t="n"/>
      <c r="C38" s="18" t="n"/>
      <c r="D38" s="18" t="n"/>
      <c r="E38" s="18" t="n"/>
      <c r="F38" s="18" t="n"/>
      <c r="G38" s="19" t="n"/>
      <c r="H38" s="33" t="n"/>
      <c r="I38" s="18" t="n"/>
      <c r="J38" s="18" t="n"/>
      <c r="K38" s="18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39" ht="27" customHeight="1" s="462" thickBot="1">
      <c r="K39" s="2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0" ht="27" customHeight="1" s="462">
      <c r="B40" s="22" t="n"/>
      <c r="C40" s="25" t="n"/>
      <c r="D40" s="25" t="inlineStr">
        <is>
          <t>現在待機場所</t>
        </is>
      </c>
      <c r="E40" s="25" t="inlineStr">
        <is>
          <t>待機予定場所</t>
        </is>
      </c>
      <c r="F40" s="466" t="n"/>
      <c r="H40" s="375" t="inlineStr">
        <is>
          <t>目標距離</t>
        </is>
      </c>
      <c r="I40" s="465" t="n"/>
      <c r="J40" s="467" t="n"/>
      <c r="K40" s="377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1" ht="27" customHeight="1" s="462" thickBot="1">
      <c r="B41" s="26" t="inlineStr">
        <is>
          <t>2(255)</t>
        </is>
      </c>
      <c r="C41" s="21" t="inlineStr">
        <is>
          <t>山岸</t>
        </is>
      </c>
      <c r="D41" s="34" t="n"/>
      <c r="E41" s="34" t="n"/>
      <c r="F41" s="466" t="n"/>
      <c r="H41" s="468" t="n"/>
      <c r="I41" s="477" t="n"/>
      <c r="J41" s="469" t="n"/>
      <c r="K41" s="470" t="n"/>
    </row>
    <row r="42">
      <c r="B42" s="26" t="inlineStr">
        <is>
          <t>8(254)</t>
        </is>
      </c>
      <c r="C42" s="21" t="inlineStr">
        <is>
          <t>砂川</t>
        </is>
      </c>
      <c r="D42" s="35" t="n"/>
      <c r="E42" s="35" t="n"/>
      <c r="F42" s="466" t="n"/>
      <c r="H42" s="368" t="inlineStr">
        <is>
          <t>残距離</t>
        </is>
      </c>
      <c r="J42" s="471" t="n"/>
      <c r="K42" s="354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3" ht="14.25" customHeight="1" s="462" thickBot="1">
      <c r="B43" s="26" t="inlineStr">
        <is>
          <t>9(256)</t>
        </is>
      </c>
      <c r="C43" s="21" t="inlineStr">
        <is>
          <t>前川</t>
        </is>
      </c>
      <c r="D43" s="35" t="n"/>
      <c r="E43" s="35" t="n"/>
      <c r="F43" s="466" t="n"/>
      <c r="H43" s="468" t="n"/>
      <c r="I43" s="477" t="n"/>
      <c r="J43" s="469" t="n"/>
      <c r="K43" s="472" t="n"/>
    </row>
    <row r="44" ht="14.25" customHeight="1" s="462" thickBot="1">
      <c r="B44" s="26" t="inlineStr">
        <is>
          <t>10(257)</t>
        </is>
      </c>
      <c r="C44" s="35" t="n"/>
      <c r="D44" s="35" t="n"/>
      <c r="E44" s="35" t="n"/>
      <c r="F44" s="466" t="n"/>
      <c r="K44" s="2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5">
      <c r="B45" s="26" t="inlineStr">
        <is>
          <t>11(258)</t>
        </is>
      </c>
      <c r="C45" s="21" t="inlineStr">
        <is>
          <t>郡司</t>
        </is>
      </c>
      <c r="D45" s="35" t="n"/>
      <c r="E45" s="35" t="n"/>
      <c r="F45" s="466" t="n"/>
      <c r="H45" s="350" t="inlineStr">
        <is>
          <t>依頼件数</t>
        </is>
      </c>
      <c r="I45" s="465" t="n"/>
      <c r="J45" s="467" t="n"/>
      <c r="K45" s="354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4.25" customHeight="1" s="462" thickBot="1">
      <c r="B46" s="26" t="inlineStr">
        <is>
          <t>12(736)</t>
        </is>
      </c>
      <c r="C46" s="21" t="n"/>
      <c r="D46" s="35" t="n"/>
      <c r="E46" s="35" t="n"/>
      <c r="F46" s="466" t="n"/>
      <c r="H46" s="468" t="n"/>
      <c r="I46" s="477" t="n"/>
      <c r="J46" s="469" t="n"/>
      <c r="K46" s="472" t="n"/>
    </row>
    <row r="47" ht="17.25" customHeight="1" s="462">
      <c r="B47" s="26" t="inlineStr">
        <is>
          <t>13(737)</t>
        </is>
      </c>
      <c r="C47" s="21" t="n"/>
      <c r="D47" s="35" t="n"/>
      <c r="E47" s="35" t="n"/>
      <c r="F47" s="466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7.25" customHeight="1" s="462">
      <c r="B48" s="40" t="inlineStr">
        <is>
          <t>14(738)</t>
        </is>
      </c>
      <c r="C48" s="21" t="inlineStr">
        <is>
          <t>辻井</t>
        </is>
      </c>
      <c r="D48" s="35" t="n"/>
      <c r="E48" s="35" t="n"/>
      <c r="F48" s="466" t="n"/>
      <c r="H48" s="38" t="n"/>
      <c r="I48" s="38" t="n"/>
      <c r="J48" s="38" t="n"/>
      <c r="K48" s="39" t="n"/>
    </row>
    <row r="49" ht="17.25" customHeight="1" s="462">
      <c r="B49" s="41" t="n"/>
      <c r="C49" s="42" t="n"/>
      <c r="D49" s="43" t="n"/>
      <c r="E49" s="44" t="n"/>
      <c r="F49" s="349" t="n"/>
      <c r="H49" s="38" t="n"/>
      <c r="I49" s="38" t="n"/>
      <c r="J49" s="38" t="n"/>
      <c r="K49" s="39" t="n"/>
    </row>
    <row r="50" ht="17.25" customHeight="1" s="462">
      <c r="B50" s="45" t="n">
        <v>7290</v>
      </c>
      <c r="C50" s="21" t="inlineStr">
        <is>
          <t>佐藤</t>
        </is>
      </c>
      <c r="D50" s="35" t="n"/>
      <c r="E50" s="348" t="n"/>
      <c r="F50" s="349" t="n"/>
      <c r="H50" s="38" t="n"/>
      <c r="I50" s="38" t="n"/>
      <c r="J50" s="38" t="n"/>
      <c r="K50" s="39" t="n"/>
    </row>
    <row r="51" ht="16.5" customHeight="1" s="462">
      <c r="B51" s="45" t="n">
        <v>7291</v>
      </c>
      <c r="C51" s="21" t="inlineStr">
        <is>
          <t>末次</t>
        </is>
      </c>
      <c r="D51" s="35" t="n"/>
      <c r="E51" s="348" t="n"/>
      <c r="F51" s="349" t="n"/>
      <c r="H51" s="38" t="n"/>
      <c r="I51" s="38" t="n"/>
      <c r="J51" s="38" t="n"/>
      <c r="K51" s="39" t="n"/>
    </row>
    <row r="52" ht="16.5" customHeight="1" s="462">
      <c r="B52" s="41" t="n"/>
      <c r="C52" s="42" t="n"/>
      <c r="D52" s="44" t="n"/>
      <c r="E52" s="44" t="n"/>
      <c r="F52" s="349" t="n"/>
      <c r="H52" s="38" t="n"/>
      <c r="I52" s="38" t="n"/>
      <c r="J52" s="38" t="n"/>
      <c r="K52" s="39" t="n"/>
    </row>
    <row r="53" ht="8.25" customHeight="1" s="462">
      <c r="B53" s="45" t="n">
        <v>333</v>
      </c>
      <c r="C53" s="21" t="inlineStr">
        <is>
          <t>金井/奥田</t>
        </is>
      </c>
      <c r="D53" s="35" t="n"/>
      <c r="E53" s="484" t="n"/>
      <c r="F53" s="469" t="n"/>
      <c r="H53" s="38" t="n"/>
      <c r="I53" s="38" t="n"/>
      <c r="J53" s="38" t="n"/>
      <c r="K53" s="39" t="n"/>
    </row>
    <row r="54" ht="17.25" customHeight="1" s="462">
      <c r="B54" s="46" t="n">
        <v>666</v>
      </c>
      <c r="C54" s="21" t="inlineStr">
        <is>
          <t>徳留</t>
        </is>
      </c>
      <c r="D54" s="35" t="n"/>
      <c r="E54" s="35" t="n"/>
      <c r="F54" s="466" t="n"/>
      <c r="H54" s="38" t="n"/>
      <c r="I54" s="38" t="n"/>
      <c r="J54" s="38" t="n"/>
      <c r="K54" s="39" t="n"/>
    </row>
    <row r="55" ht="17.25" customHeight="1" s="462">
      <c r="B55" s="46" t="n">
        <v>777</v>
      </c>
      <c r="C55" s="21" t="n"/>
      <c r="D55" s="35" t="n"/>
      <c r="E55" s="348" t="n"/>
      <c r="F55" s="349" t="n"/>
      <c r="H55" s="38" t="n"/>
      <c r="I55" s="38" t="n"/>
      <c r="J55" s="38" t="n"/>
      <c r="K55" s="39" t="n"/>
    </row>
    <row r="56" ht="9" customHeight="1" s="462">
      <c r="B56" s="47" t="n">
        <v>330</v>
      </c>
      <c r="C56" s="21" t="n"/>
      <c r="D56" s="35" t="n"/>
      <c r="E56" s="35" t="n"/>
      <c r="F56" s="466" t="n"/>
      <c r="H56" s="38" t="n"/>
      <c r="I56" s="38" t="n"/>
      <c r="J56" s="38" t="n"/>
      <c r="K56" s="39" t="n"/>
    </row>
    <row r="57" ht="16.5" customHeight="1" s="462">
      <c r="B57" s="47" t="n">
        <v>990</v>
      </c>
      <c r="C57" s="21" t="inlineStr">
        <is>
          <t>山原</t>
        </is>
      </c>
      <c r="D57" s="35" t="n"/>
      <c r="E57" s="35" t="n"/>
      <c r="F57" s="466" t="n"/>
      <c r="H57" s="38" t="n"/>
      <c r="I57" s="38" t="n"/>
      <c r="J57" s="38" t="n"/>
      <c r="K57" s="39" t="n"/>
    </row>
    <row r="58" ht="16.5" customHeight="1" s="462"/>
    <row r="59" ht="16.5" customHeight="1" s="462">
      <c r="C59" s="449" t="inlineStr">
        <is>
          <t>出発→到着</t>
        </is>
      </c>
      <c r="D59" s="420" t="inlineStr">
        <is>
          <t>備考</t>
        </is>
      </c>
    </row>
    <row r="60" ht="16.5" customHeight="1" s="462">
      <c r="B60" s="27" t="inlineStr">
        <is>
          <t>①</t>
        </is>
      </c>
      <c r="C60" s="449" t="inlineStr">
        <is>
          <t>東→西</t>
        </is>
      </c>
      <c r="D60" s="485" t="inlineStr">
        <is>
          <t>①Aチーム優先</t>
        </is>
      </c>
      <c r="E60" s="486" t="n"/>
      <c r="F60" s="486" t="n"/>
      <c r="G60" s="486" t="n"/>
      <c r="H60" s="486" t="n"/>
      <c r="I60" s="486" t="n"/>
      <c r="J60" s="466" t="n"/>
    </row>
    <row r="61" ht="16.5" customHeight="1" s="462">
      <c r="B61" s="27" t="inlineStr">
        <is>
          <t>②</t>
        </is>
      </c>
      <c r="C61" s="449" t="inlineStr">
        <is>
          <t>東→東</t>
        </is>
      </c>
      <c r="D61" s="485" t="inlineStr">
        <is>
          <t>②急ぎ案件の場合、道路状況も伝えてあげる。</t>
        </is>
      </c>
      <c r="E61" s="486" t="n"/>
      <c r="F61" s="486" t="n"/>
      <c r="G61" s="486" t="n"/>
      <c r="H61" s="486" t="n"/>
      <c r="I61" s="486" t="n"/>
      <c r="J61" s="466" t="n"/>
    </row>
    <row r="62">
      <c r="B62" s="27" t="inlineStr">
        <is>
          <t>③</t>
        </is>
      </c>
      <c r="C62" s="449" t="inlineStr">
        <is>
          <t>西→東</t>
        </is>
      </c>
      <c r="D62" s="485" t="inlineStr">
        <is>
          <t>③各ドライバーの位置からの帰社のタイミング・夕方の配置</t>
        </is>
      </c>
      <c r="E62" s="486" t="n"/>
      <c r="F62" s="486" t="n"/>
      <c r="G62" s="486" t="n"/>
      <c r="H62" s="486" t="n"/>
      <c r="I62" s="486" t="n"/>
      <c r="J62" s="466" t="n"/>
    </row>
    <row r="63">
      <c r="B63" s="27" t="inlineStr">
        <is>
          <t>④</t>
        </is>
      </c>
      <c r="C63" s="449" t="inlineStr">
        <is>
          <t>西→西</t>
        </is>
      </c>
      <c r="D63" s="485" t="inlineStr">
        <is>
          <t>④依頼を受ける際の、希望時間と現状の位置。行けるか行けないかの判断をしっかりと。</t>
        </is>
      </c>
      <c r="E63" s="486" t="n"/>
      <c r="F63" s="486" t="n"/>
      <c r="G63" s="486" t="n"/>
      <c r="H63" s="486" t="n"/>
      <c r="I63" s="486" t="n"/>
      <c r="J63" s="466" t="n"/>
    </row>
    <row r="64">
      <c r="D64" s="485" t="inlineStr">
        <is>
          <t>⑤軽に乗るか乗らないかの判断に気を付ける。</t>
        </is>
      </c>
      <c r="E64" s="486" t="n"/>
      <c r="F64" s="486" t="n"/>
      <c r="G64" s="486" t="n"/>
      <c r="H64" s="486" t="n"/>
      <c r="I64" s="486" t="n"/>
      <c r="J64" s="466" t="n"/>
    </row>
    <row r="65">
      <c r="B65" s="22" t="n"/>
      <c r="C65" s="420" t="inlineStr">
        <is>
          <t>現状配置(予測)</t>
        </is>
      </c>
      <c r="D65" s="485" t="inlineStr">
        <is>
          <t>⑥18/1日、1.8/1人、3件/1人</t>
        </is>
      </c>
      <c r="E65" s="486" t="n"/>
      <c r="F65" s="486" t="n"/>
      <c r="G65" s="486" t="n"/>
      <c r="H65" s="486" t="n"/>
      <c r="I65" s="486" t="n"/>
      <c r="J65" s="466" t="n"/>
    </row>
    <row r="66">
      <c r="B66" s="420" t="inlineStr">
        <is>
          <t>西(神戸西・弥栄台)</t>
        </is>
      </c>
      <c r="C66" s="420" t="n"/>
      <c r="D66" s="485" t="inlineStr">
        <is>
          <t>⑦依頼書の見落とし(日付、入替、入出庫、場所）</t>
        </is>
      </c>
      <c r="E66" s="486" t="n"/>
      <c r="F66" s="486" t="n"/>
      <c r="G66" s="486" t="n"/>
      <c r="H66" s="486" t="n"/>
      <c r="I66" s="486" t="n"/>
      <c r="J66" s="466" t="n"/>
    </row>
    <row r="67">
      <c r="B67" s="420" t="inlineStr">
        <is>
          <t>真ん中(摩耶・中央)</t>
        </is>
      </c>
      <c r="C67" s="420" t="n"/>
      <c r="D67" s="485" t="inlineStr">
        <is>
          <t>⑧3ｔ車と2ｔ車への振り方(西と東に振り分ける)</t>
        </is>
      </c>
      <c r="E67" s="486" t="n"/>
      <c r="F67" s="486" t="n"/>
      <c r="G67" s="486" t="n"/>
      <c r="H67" s="486" t="n"/>
      <c r="I67" s="486" t="n"/>
      <c r="J67" s="466" t="n"/>
    </row>
    <row r="68">
      <c r="B68" s="420" t="inlineStr">
        <is>
          <t>東(尼崎・伊丹・西宮)</t>
        </is>
      </c>
      <c r="C68" s="420" t="n"/>
      <c r="D68" s="485" t="inlineStr">
        <is>
          <t>⑨</t>
        </is>
      </c>
      <c r="E68" s="486" t="n"/>
      <c r="F68" s="486" t="n"/>
      <c r="G68" s="486" t="n"/>
      <c r="H68" s="486" t="n"/>
      <c r="I68" s="486" t="n"/>
      <c r="J68" s="466" t="n"/>
    </row>
    <row r="69">
      <c r="B69" s="48" t="inlineStr">
        <is>
          <t>極東(港区・淀屋橋)</t>
        </is>
      </c>
      <c r="C69" s="420" t="n"/>
      <c r="D69" s="49" t="n"/>
      <c r="E69" s="49" t="n"/>
      <c r="F69" s="49" t="n"/>
      <c r="G69" s="49" t="n"/>
      <c r="H69" s="49" t="n"/>
      <c r="I69" s="49" t="n"/>
      <c r="J69" s="49" t="n"/>
    </row>
    <row r="70" ht="14.25" customHeight="1" s="462" thickBot="1"/>
    <row r="71">
      <c r="C71" s="473" t="inlineStr">
        <is>
          <t>合計額/380</t>
        </is>
      </c>
      <c r="D71" s="358">
        <f>SUM(G71)</f>
        <v/>
      </c>
      <c r="F71" s="360" t="inlineStr">
        <is>
          <t>売り上げ額</t>
        </is>
      </c>
      <c r="G71" s="362">
        <f>SUM(SUM(K4:K37))+SUM(#REF!)</f>
        <v/>
      </c>
      <c r="H71" s="465" t="n"/>
      <c r="I71" s="465" t="n"/>
      <c r="J71" s="467" t="n"/>
    </row>
    <row r="72" ht="14.25" customHeight="1" s="462" thickBot="1">
      <c r="C72" s="474" t="n"/>
      <c r="D72" s="475" t="n"/>
      <c r="F72" s="468" t="n"/>
      <c r="G72" s="476" t="n"/>
      <c r="H72" s="477" t="n"/>
      <c r="I72" s="477" t="n"/>
      <c r="J72" s="469" t="n"/>
    </row>
    <row r="73">
      <c r="C73" s="478" t="inlineStr">
        <is>
          <t>前日までの売上合計額</t>
        </is>
      </c>
      <c r="D73" s="479">
        <f>SUM(B82)</f>
        <v/>
      </c>
    </row>
    <row r="74" ht="14.25" customHeight="1" s="462" thickBot="1">
      <c r="C74" s="480" t="n"/>
      <c r="D74" s="480" t="n"/>
      <c r="F74" s="420" t="inlineStr">
        <is>
          <t>金井（55)</t>
        </is>
      </c>
      <c r="G74" s="345" t="n"/>
      <c r="H74" s="466" t="n"/>
      <c r="I74" s="130" t="n"/>
    </row>
    <row r="75" ht="14.25" customHeight="1" s="462" thickTop="1">
      <c r="D75" s="346">
        <f>D71+D73</f>
        <v/>
      </c>
      <c r="F75" s="420" t="inlineStr">
        <is>
          <t>粟津(55)</t>
        </is>
      </c>
      <c r="G75" s="340" t="n"/>
      <c r="H75" s="466" t="n"/>
      <c r="I75" s="131" t="n"/>
    </row>
    <row r="76">
      <c r="F76" s="420" t="inlineStr">
        <is>
          <t>砂川(50)</t>
        </is>
      </c>
      <c r="G76" s="340" t="n"/>
      <c r="H76" s="466" t="n"/>
      <c r="I76" s="131" t="n"/>
    </row>
    <row r="77">
      <c r="C77" s="2" t="inlineStr">
        <is>
          <t>高代</t>
        </is>
      </c>
      <c r="F77" s="420" t="inlineStr">
        <is>
          <t>前川(50)</t>
        </is>
      </c>
      <c r="G77" s="340" t="n"/>
      <c r="H77" s="466" t="n"/>
      <c r="I77" s="131" t="n"/>
    </row>
    <row r="78">
      <c r="C78" s="2" t="inlineStr">
        <is>
          <t>返還代</t>
        </is>
      </c>
      <c r="F78" s="420" t="inlineStr">
        <is>
          <t>佐藤(50)</t>
        </is>
      </c>
      <c r="G78" s="345" t="n"/>
      <c r="H78" s="466" t="n"/>
      <c r="I78" s="130" t="n"/>
    </row>
    <row r="79">
      <c r="C79" s="2" t="inlineStr">
        <is>
          <t>回収率</t>
        </is>
      </c>
      <c r="D79" s="50">
        <f>D78/D77</f>
        <v/>
      </c>
      <c r="F79" s="420" t="inlineStr">
        <is>
          <t>末次(55)</t>
        </is>
      </c>
      <c r="G79" s="340" t="n"/>
      <c r="H79" s="466" t="n"/>
      <c r="I79" s="131" t="n"/>
    </row>
    <row r="80">
      <c r="C80" s="2" t="inlineStr">
        <is>
          <t>費</t>
        </is>
      </c>
      <c r="D80" s="2">
        <f>D77-D78</f>
        <v/>
      </c>
      <c r="F80" s="420" t="inlineStr">
        <is>
          <t>筒井(75)</t>
        </is>
      </c>
      <c r="G80" s="340" t="n"/>
      <c r="H80" s="466" t="n"/>
      <c r="I80" s="131" t="n"/>
    </row>
    <row r="81">
      <c r="F81" s="420" t="inlineStr">
        <is>
          <t>山岸(40)</t>
        </is>
      </c>
      <c r="G81" s="340" t="n"/>
      <c r="H81" s="466" t="n"/>
      <c r="I81" s="131" t="n"/>
    </row>
    <row r="82" ht="17.25" customHeight="1" s="462">
      <c r="B82" s="71" t="n"/>
      <c r="F82" s="420" t="inlineStr">
        <is>
          <t>多苗(30)</t>
        </is>
      </c>
      <c r="G82" s="340" t="n"/>
      <c r="H82" s="466" t="n"/>
      <c r="I82" s="131" t="n"/>
      <c r="L82" s="2" t="inlineStr">
        <is>
          <t> </t>
        </is>
      </c>
    </row>
    <row r="86" ht="23.25" customHeight="1" s="462"/>
  </sheetData>
  <mergeCells count="55">
    <mergeCell ref="E43:F43"/>
    <mergeCell ref="D62:J62"/>
    <mergeCell ref="G81:H81"/>
    <mergeCell ref="G77:H77"/>
    <mergeCell ref="Q3:R3"/>
    <mergeCell ref="Q21:R21"/>
    <mergeCell ref="C73:C74"/>
    <mergeCell ref="Q37:R37"/>
    <mergeCell ref="D68:J68"/>
    <mergeCell ref="E42:F42"/>
    <mergeCell ref="Q24:R24"/>
    <mergeCell ref="D64:J64"/>
    <mergeCell ref="K45:K46"/>
    <mergeCell ref="E48:F48"/>
    <mergeCell ref="H42:J43"/>
    <mergeCell ref="D67:J67"/>
    <mergeCell ref="E44:F44"/>
    <mergeCell ref="G82:H82"/>
    <mergeCell ref="B2:C2"/>
    <mergeCell ref="C71:C72"/>
    <mergeCell ref="D75:D76"/>
    <mergeCell ref="Q5:R5"/>
    <mergeCell ref="Q20:R20"/>
    <mergeCell ref="Q23:R23"/>
    <mergeCell ref="D60:J60"/>
    <mergeCell ref="K40:K41"/>
    <mergeCell ref="E40:F40"/>
    <mergeCell ref="D63:J63"/>
    <mergeCell ref="G78:H78"/>
    <mergeCell ref="Q4:R4"/>
    <mergeCell ref="G74:H74"/>
    <mergeCell ref="Q34:R34"/>
    <mergeCell ref="D71:D72"/>
    <mergeCell ref="F71:F72"/>
    <mergeCell ref="H40:J41"/>
    <mergeCell ref="E46:F46"/>
    <mergeCell ref="D65:J65"/>
    <mergeCell ref="G80:H80"/>
    <mergeCell ref="K42:K43"/>
    <mergeCell ref="E45:F45"/>
    <mergeCell ref="Q22:R22"/>
    <mergeCell ref="D73:D74"/>
    <mergeCell ref="G79:H79"/>
    <mergeCell ref="H45:J46"/>
    <mergeCell ref="E57:F57"/>
    <mergeCell ref="D61:J61"/>
    <mergeCell ref="E54:F54"/>
    <mergeCell ref="D66:J66"/>
    <mergeCell ref="G76:H76"/>
    <mergeCell ref="E41:F41"/>
    <mergeCell ref="G71:J72"/>
    <mergeCell ref="E53:F53"/>
    <mergeCell ref="G75:H75"/>
    <mergeCell ref="E56:F56"/>
    <mergeCell ref="E47:F47"/>
  </mergeCells>
  <conditionalFormatting sqref="L3:L37">
    <cfRule type="cellIs" priority="3" operator="greaterThan" dxfId="0">
      <formula>30</formula>
    </cfRule>
  </conditionalFormatting>
  <conditionalFormatting sqref="K42:K43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45">
    <cfRule type="containsText" priority="6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8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89"/>
  <sheetViews>
    <sheetView topLeftCell="A4" zoomScaleNormal="100" workbookViewId="0">
      <selection activeCell="C4" sqref="C4"/>
    </sheetView>
  </sheetViews>
  <sheetFormatPr baseColWidth="8" defaultColWidth="8.75" defaultRowHeight="13.5"/>
  <cols>
    <col width="2.125" customWidth="1" style="1" min="1" max="1"/>
    <col width="17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18.875" customWidth="1" style="2" min="11" max="11"/>
    <col width="8.75" customWidth="1" style="2" min="12" max="16384"/>
  </cols>
  <sheetData>
    <row r="1"/>
    <row r="2" ht="15" customHeight="1" s="462" thickBot="1">
      <c r="B2" s="493" t="n">
        <v>46198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inlineStr">
        <is>
          <t>333：朝引取り弘盛
モータース</t>
        </is>
      </c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441" t="n"/>
      <c r="D6" s="133" t="n"/>
      <c r="E6" s="441" t="n"/>
      <c r="F6" s="57" t="n"/>
      <c r="G6" s="209" t="n"/>
      <c r="H6" s="438" t="n"/>
      <c r="I6" s="295">
        <f>IFERROR(_xlfn.XLOOKUP(H6,案件・ドライバー一覧!$L$3:$L$17,案件・ドライバー一覧!$M$3:$M$17,""),"")</f>
        <v/>
      </c>
      <c r="J6" s="57" t="n"/>
      <c r="K6" s="73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</row>
    <row r="7" ht="36" customHeight="1" s="462">
      <c r="A7" s="423">
        <f>IF(B7="","",COUNTA($B$5:B7))</f>
        <v/>
      </c>
      <c r="B7" s="57" t="n"/>
      <c r="C7" s="64" t="n"/>
      <c r="D7" s="63" t="n"/>
      <c r="E7" s="441" t="n"/>
      <c r="F7" s="57" t="n"/>
      <c r="G7" s="59" t="n"/>
      <c r="H7" s="438" t="n"/>
      <c r="I7" s="295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4" t="n"/>
      <c r="D8" s="441" t="n"/>
      <c r="E8" s="441" t="n"/>
      <c r="F8" s="57" t="n"/>
      <c r="G8" s="59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420" t="n"/>
      <c r="C9" s="420" t="n"/>
      <c r="D9" s="420" t="n"/>
      <c r="E9" s="442" t="n"/>
      <c r="F9" s="420" t="n"/>
      <c r="G9" s="65" t="n"/>
      <c r="H9" s="438" t="n"/>
      <c r="I9" s="296">
        <f>IFERROR(_xlfn.XLOOKUP(H9,案件・ドライバー一覧!$L$3:$L$17,案件・ドライバー一覧!$M$3:$M$17,""),"")</f>
        <v/>
      </c>
      <c r="J9" s="420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247" t="n"/>
      <c r="H10" s="438" t="n"/>
      <c r="I10" s="295">
        <f>IFERROR(_xlfn.XLOOKUP(H10,案件・ドライバー一覧!$L$3:$L$17,案件・ドライバー一覧!$M$3:$M$17,""),"")</f>
        <v/>
      </c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 t="n"/>
      <c r="B15" s="57" t="n"/>
      <c r="C15" s="63" t="n"/>
      <c r="D15" s="441" t="n"/>
      <c r="E15" s="441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 t="n"/>
      <c r="L15" s="61" t="n"/>
      <c r="M15" s="449" t="n"/>
      <c r="N15" s="449" t="n"/>
      <c r="O15" s="449" t="n"/>
      <c r="P15" s="449" t="n"/>
      <c r="Q15" s="449" t="n"/>
      <c r="R15" s="449" t="n"/>
    </row>
    <row r="16" ht="16.5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295">
        <f>IFERROR(_xlfn.XLOOKUP(H16,案件・ドライバー一覧!$L$3:$L$17,案件・ドライバー一覧!$M$3:$M$17,""),"")</f>
        <v/>
      </c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4" t="n"/>
      <c r="D18" s="441" t="n"/>
      <c r="E18" s="63" t="n"/>
      <c r="F18" s="57" t="n"/>
      <c r="G18" s="65" t="n"/>
      <c r="H18" s="438" t="n"/>
      <c r="I18" s="427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438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27" customHeight="1" s="462">
      <c r="A20" s="423">
        <f>IF(B20="","",COUNTA($B$5:B20))</f>
        <v/>
      </c>
      <c r="B20" s="57" t="n"/>
      <c r="C20" s="441" t="n"/>
      <c r="D20" s="441" t="n"/>
      <c r="E20" s="441" t="n"/>
      <c r="F20" s="57" t="n"/>
      <c r="G20" s="65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  <c r="R20" s="449" t="n"/>
    </row>
    <row r="21" ht="28.5" customHeight="1" s="462">
      <c r="A21" s="423">
        <f>IF(B21="","",COUNTA($B$5:B21))</f>
        <v/>
      </c>
      <c r="B21" s="57" t="n"/>
      <c r="C21" s="64" t="n"/>
      <c r="D21" s="441" t="n"/>
      <c r="E21" s="63" t="n"/>
      <c r="F21" s="441" t="n"/>
      <c r="G21" s="59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  <c r="R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65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  <c r="R25" s="449" t="n"/>
    </row>
    <row r="26" ht="27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27" customHeight="1" s="462">
      <c r="A27" s="423" t="n"/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72" t="n"/>
      <c r="L27" s="61" t="n"/>
      <c r="M27" s="449" t="n"/>
      <c r="N27" s="449" t="n"/>
      <c r="O27" s="449" t="n"/>
      <c r="P27" s="449" t="n"/>
      <c r="Q27" s="449" t="n"/>
      <c r="R27" s="449" t="n"/>
    </row>
    <row r="28" ht="15.75" customHeight="1" s="462">
      <c r="A28" s="423">
        <f>IF(B28="","",COUNTA($B$5:B28))</f>
        <v/>
      </c>
      <c r="B28" s="57" t="n"/>
      <c r="C28" s="63" t="n"/>
      <c r="D28" s="441" t="n"/>
      <c r="E28" s="441" t="n"/>
      <c r="F28" s="57" t="n"/>
      <c r="G28" s="65" t="n"/>
      <c r="H28" s="438" t="n"/>
      <c r="I28" s="427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  <c r="R28" s="449" t="n"/>
    </row>
    <row r="29" ht="27" customHeight="1" s="462">
      <c r="A29" s="423">
        <f>IF(B29="","",COUNTA($B$5:B29))</f>
        <v/>
      </c>
      <c r="B29" s="57" t="n"/>
      <c r="C29" s="63" t="n"/>
      <c r="D29" s="441" t="n"/>
      <c r="E29" s="441" t="n"/>
      <c r="F29" s="57" t="n"/>
      <c r="G29" s="65" t="n"/>
      <c r="H29" s="438" t="n"/>
      <c r="I29" s="427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  <c r="R29" s="449" t="n"/>
    </row>
    <row r="30" ht="27" customHeight="1" s="462">
      <c r="A30" s="423">
        <f>IF(B30="","",COUNTA($B$5:B30))</f>
        <v/>
      </c>
      <c r="B30" s="57" t="n"/>
      <c r="C30" s="62" t="n"/>
      <c r="D30" s="63" t="n"/>
      <c r="E30" s="441" t="n"/>
      <c r="F30" s="57" t="n"/>
      <c r="G30" s="66" t="n"/>
      <c r="H30" s="438" t="n"/>
      <c r="I30" s="427" t="n"/>
      <c r="J30" s="57" t="n"/>
      <c r="K30" s="73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M30" s="449" t="n"/>
      <c r="N30" s="449" t="n"/>
      <c r="O30" s="449" t="n"/>
      <c r="P30" s="449" t="n"/>
      <c r="Q30" s="449" t="n"/>
    </row>
    <row r="31" ht="27" customHeight="1" s="462">
      <c r="A31" s="423">
        <f>IF(B31="","",COUNTA($B$5:B31))</f>
        <v/>
      </c>
      <c r="B31" s="57" t="n"/>
      <c r="C31" s="63" t="n"/>
      <c r="D31" s="64" t="n"/>
      <c r="E31" s="420" t="n"/>
      <c r="F31" s="57" t="n"/>
      <c r="G31" s="66" t="n"/>
      <c r="H31" s="438" t="n"/>
      <c r="I31" s="438" t="n"/>
      <c r="J31" s="420" t="n"/>
      <c r="K31" s="73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  <c r="O31" s="449" t="n"/>
      <c r="P31" s="449" t="n"/>
      <c r="Q31" s="449" t="n"/>
    </row>
    <row r="32" ht="27" customHeight="1" s="462">
      <c r="A32" s="423">
        <f>IF(B32="","",COUNTA($B$5:B32))</f>
        <v/>
      </c>
      <c r="B32" s="57" t="n"/>
      <c r="C32" s="63" t="n"/>
      <c r="D32" s="64" t="n"/>
      <c r="E32" s="57" t="n"/>
      <c r="F32" s="57" t="n"/>
      <c r="G32" s="66" t="n"/>
      <c r="H32" s="438" t="n"/>
      <c r="I32" s="427" t="n"/>
      <c r="J32" s="57" t="n"/>
      <c r="K32" s="72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M32" s="449" t="n"/>
      <c r="N32" s="449" t="n"/>
      <c r="O32" s="449" t="n"/>
      <c r="P32" s="449" t="n"/>
      <c r="Q32" s="449" t="n"/>
      <c r="R32" s="449" t="n"/>
    </row>
    <row r="33" ht="27" customHeight="1" s="462">
      <c r="A33" s="423">
        <f>IF(B33="","",COUNTA($B$5:B33))</f>
        <v/>
      </c>
      <c r="B33" s="57" t="n"/>
      <c r="C33" s="420" t="n"/>
      <c r="D33" s="63" t="n"/>
      <c r="E33" s="441" t="n"/>
      <c r="F33" s="57" t="n"/>
      <c r="G33" s="65" t="n"/>
      <c r="H33" s="438" t="n"/>
      <c r="I33" s="427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  <c r="O33" s="449" t="n"/>
      <c r="P33" s="449" t="n"/>
      <c r="Q33" s="449" t="n"/>
    </row>
    <row r="34" ht="27" customHeight="1" s="462">
      <c r="A34" s="423">
        <f>IF(B34="","",COUNTA($B$5:B34))</f>
        <v/>
      </c>
      <c r="B34" s="57" t="n"/>
      <c r="C34" s="57" t="n"/>
      <c r="D34" s="441" t="n"/>
      <c r="E34" s="441" t="n"/>
      <c r="F34" s="57" t="n"/>
      <c r="G34" s="66" t="n"/>
      <c r="H34" s="438" t="n"/>
      <c r="I34" s="427" t="n"/>
      <c r="J34" s="57" t="n"/>
      <c r="K34" s="72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M34" s="449" t="n"/>
      <c r="N34" s="449" t="n"/>
      <c r="O34" s="449" t="n"/>
      <c r="P34" s="449" t="n"/>
      <c r="Q34" s="449" t="n"/>
    </row>
    <row r="35" ht="27.75" customHeight="1" s="462">
      <c r="A35" s="423">
        <f>IF(B35="","",COUNTA($B$5:B35))</f>
        <v/>
      </c>
      <c r="B35" s="441" t="n"/>
      <c r="C35" s="440" t="n"/>
      <c r="D35" s="441" t="n"/>
      <c r="E35" s="440" t="n"/>
      <c r="F35" s="57" t="n"/>
      <c r="G35" s="65" t="n"/>
      <c r="H35" s="438" t="n"/>
      <c r="I35" s="438" t="n"/>
      <c r="J35" s="420" t="n"/>
      <c r="K35" s="7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M35" s="449" t="n"/>
      <c r="N35" s="449" t="n"/>
      <c r="O35" s="449" t="n"/>
      <c r="P35" s="449" t="n"/>
      <c r="Q35" s="449" t="n"/>
    </row>
    <row r="36" ht="27" customHeight="1" s="462">
      <c r="A36" s="423">
        <f>IF(B36="","",COUNTA($B$5:B36))</f>
        <v/>
      </c>
      <c r="B36" s="441" t="n"/>
      <c r="C36" s="63" t="n"/>
      <c r="D36" s="440" t="n"/>
      <c r="E36" s="441" t="n"/>
      <c r="F36" s="57" t="n"/>
      <c r="G36" s="59" t="n"/>
      <c r="H36" s="438" t="n"/>
      <c r="I36" s="427" t="n"/>
      <c r="J36" s="57" t="n"/>
      <c r="K36" s="73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M36" s="449" t="n"/>
      <c r="N36" s="449" t="n"/>
      <c r="O36" s="449" t="n"/>
      <c r="P36" s="449" t="n"/>
      <c r="Q36" s="449" t="n"/>
    </row>
    <row r="37" ht="27" customHeight="1" s="462">
      <c r="A37" s="423" t="n"/>
      <c r="B37" s="441" t="n"/>
      <c r="C37" s="63" t="n"/>
      <c r="D37" s="440" t="n"/>
      <c r="E37" s="441" t="n"/>
      <c r="F37" s="57" t="n"/>
      <c r="G37" s="59" t="n"/>
      <c r="H37" s="438" t="n"/>
      <c r="I37" s="427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M37" s="449" t="n"/>
      <c r="N37" s="449" t="n"/>
      <c r="O37" s="449" t="n"/>
      <c r="P37" s="449" t="n"/>
      <c r="Q37" s="449" t="n"/>
      <c r="R37" s="449" t="n"/>
    </row>
    <row r="38" ht="27" customHeight="1" s="462">
      <c r="A38" s="423">
        <f>IF(B38="","",COUNTA($B$5:B38))</f>
        <v/>
      </c>
      <c r="B38" s="441" t="n"/>
      <c r="C38" s="63" t="n"/>
      <c r="D38" s="440" t="n"/>
      <c r="E38" s="441" t="n"/>
      <c r="F38" s="57" t="n"/>
      <c r="G38" s="59" t="n"/>
      <c r="H38" s="438" t="n"/>
      <c r="I38" s="427" t="n"/>
      <c r="J38" s="57" t="n"/>
      <c r="K38" s="73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M38" s="449" t="n"/>
      <c r="N38" s="449" t="n"/>
      <c r="O38" s="449" t="n"/>
      <c r="P38" s="449" t="n"/>
      <c r="Q38" s="449" t="n"/>
      <c r="R38" s="449" t="n"/>
    </row>
    <row r="39" ht="27" customHeight="1" s="462">
      <c r="A39" s="423" t="n"/>
      <c r="B39" s="441" t="n"/>
      <c r="C39" s="63" t="n"/>
      <c r="D39" s="440" t="n"/>
      <c r="E39" s="441" t="n"/>
      <c r="F39" s="57" t="n"/>
      <c r="G39" s="59" t="n"/>
      <c r="H39" s="438" t="n"/>
      <c r="I39" s="427" t="n"/>
      <c r="J39" s="57" t="n"/>
      <c r="K39" s="73" t="n"/>
      <c r="L39" s="61" t="n"/>
      <c r="M39" s="449" t="n"/>
      <c r="N39" s="449" t="n"/>
      <c r="O39" s="449" t="n"/>
      <c r="P39" s="449" t="n"/>
      <c r="Q39" s="449" t="n"/>
      <c r="R39" s="449" t="n"/>
    </row>
    <row r="40" ht="13.5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74" t="n"/>
      <c r="I40" s="80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M40" s="449" t="n"/>
      <c r="N40" s="449" t="n"/>
      <c r="O40" s="449" t="n"/>
      <c r="P40" s="449" t="n"/>
      <c r="Q40" s="449" t="n"/>
      <c r="R40" s="449" t="n"/>
    </row>
    <row r="41" ht="48" customHeight="1" s="462">
      <c r="A41" s="423">
        <f>IF(B41="","",COUNTA($B$5:B41))</f>
        <v/>
      </c>
      <c r="B41" s="420" t="n"/>
      <c r="C41" s="62" t="n"/>
      <c r="D41" s="63" t="n"/>
      <c r="E41" s="300" t="n"/>
      <c r="F41" s="420" t="n"/>
      <c r="G41" s="69" t="n"/>
      <c r="H41" s="74" t="n"/>
      <c r="I41" s="74" t="n"/>
      <c r="J41" s="420" t="n"/>
      <c r="K41" s="22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M41" s="449" t="n"/>
      <c r="N41" s="449" t="n"/>
      <c r="O41" s="449" t="n"/>
      <c r="P41" s="449" t="n"/>
      <c r="Q41" s="449" t="n"/>
    </row>
    <row r="42" ht="27" customHeight="1" s="462">
      <c r="A42" s="423">
        <f>IF(B42="","",COUNTA($B$5:B42))</f>
        <v/>
      </c>
      <c r="B42" s="441" t="n"/>
      <c r="C42" s="63" t="n"/>
      <c r="D42" s="440" t="n"/>
      <c r="E42" s="441" t="n"/>
      <c r="F42" s="57" t="n"/>
      <c r="G42" s="59" t="n"/>
      <c r="H42" s="60" t="n"/>
      <c r="I42" s="60" t="n"/>
      <c r="J42" s="57" t="n"/>
      <c r="K42" s="73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61" t="n"/>
      <c r="M42" s="449" t="n"/>
      <c r="N42" s="449" t="n"/>
      <c r="O42" s="449" t="n"/>
      <c r="P42" s="449" t="n"/>
      <c r="Q42" s="449" t="n"/>
      <c r="R42" s="449" t="n"/>
    </row>
    <row r="43" ht="27" customHeight="1" s="462">
      <c r="A43" s="423">
        <f>IF(B43="","",COUNTA($B$5:B43))</f>
        <v/>
      </c>
      <c r="B43" s="441" t="n"/>
      <c r="C43" s="63" t="n"/>
      <c r="D43" s="440" t="n"/>
      <c r="E43" s="441" t="n"/>
      <c r="F43" s="57" t="n"/>
      <c r="G43" s="59" t="n"/>
      <c r="H43" s="60" t="n"/>
      <c r="I43" s="60" t="n"/>
      <c r="J43" s="57" t="n"/>
      <c r="K43" s="73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61" t="n"/>
      <c r="M43" s="449" t="n"/>
      <c r="N43" s="449" t="n"/>
      <c r="O43" s="449" t="n"/>
      <c r="P43" s="449" t="n"/>
      <c r="Q43" s="449" t="n"/>
      <c r="R43" s="449" t="n"/>
    </row>
    <row r="44" ht="27" customHeight="1" s="462">
      <c r="A44" s="423">
        <f>IF(B44="","",COUNTA($B$5:B44))</f>
        <v/>
      </c>
      <c r="B44" s="420" t="n"/>
      <c r="C44" s="420" t="n"/>
      <c r="D44" s="420" t="n"/>
      <c r="E44" s="420" t="n"/>
      <c r="F44" s="420" t="n"/>
      <c r="G44" s="69" t="n"/>
      <c r="H44" s="70" t="n"/>
      <c r="I44" s="70" t="n"/>
      <c r="J44" s="420" t="n"/>
      <c r="K44" s="22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61" t="n"/>
      <c r="M44" s="449" t="n"/>
      <c r="N44" s="449" t="n"/>
      <c r="O44" s="449" t="n"/>
      <c r="P44" s="449" t="n"/>
      <c r="Q44" s="449" t="n"/>
    </row>
    <row r="45">
      <c r="B45" s="18" t="n"/>
      <c r="C45" s="18" t="n"/>
      <c r="D45" s="18" t="n"/>
      <c r="E45" s="18" t="n"/>
      <c r="F45" s="18" t="n"/>
      <c r="G45" s="19" t="n"/>
      <c r="H45" s="33" t="n"/>
      <c r="I45" s="18" t="n"/>
      <c r="J45" s="18" t="n"/>
      <c r="K45" s="18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6" ht="14.25" customHeight="1" s="462" thickBot="1">
      <c r="K46" s="2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7">
      <c r="B47" s="22" t="n"/>
      <c r="C47" s="25" t="n"/>
      <c r="D47" s="25" t="inlineStr">
        <is>
          <t>現在待機場所</t>
        </is>
      </c>
      <c r="E47" s="25" t="inlineStr">
        <is>
          <t>待機予定場所</t>
        </is>
      </c>
      <c r="F47" s="466" t="n"/>
      <c r="H47" s="375" t="inlineStr">
        <is>
          <t>目標距離</t>
        </is>
      </c>
      <c r="I47" s="465" t="n"/>
      <c r="J47" s="467" t="n"/>
      <c r="K47" s="377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48" ht="14.25" customHeight="1" s="462" thickBot="1">
      <c r="B48" s="26" t="inlineStr">
        <is>
          <t>2(255)</t>
        </is>
      </c>
      <c r="C48" s="21" t="inlineStr">
        <is>
          <t>山岸</t>
        </is>
      </c>
      <c r="D48" s="34" t="n"/>
      <c r="E48" s="34" t="n"/>
      <c r="F48" s="466" t="n"/>
      <c r="H48" s="468" t="n"/>
      <c r="I48" s="477" t="n"/>
      <c r="J48" s="469" t="n"/>
      <c r="K48" s="470" t="n"/>
    </row>
    <row r="49">
      <c r="B49" s="26" t="inlineStr">
        <is>
          <t>8(254)</t>
        </is>
      </c>
      <c r="C49" s="21" t="inlineStr">
        <is>
          <t>砂川</t>
        </is>
      </c>
      <c r="D49" s="35" t="n"/>
      <c r="E49" s="35" t="n"/>
      <c r="F49" s="466" t="n"/>
      <c r="H49" s="368" t="inlineStr">
        <is>
          <t>残距離</t>
        </is>
      </c>
      <c r="J49" s="471" t="n"/>
      <c r="K49" s="354">
        <f t="array" ref="K49">IF(OR(H49="",L49=""),"",IFERROR(_xlfn.LET(_xlpm.vt,VLOOKUP(IFERROR(VALUE(LEFT(H49,FIND("＊",H49&amp;"＊")-1)),H49),運賃マスター!$A$22:$B$40,2,FALSE),_xlpm.d,L49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</row>
    <row r="50" ht="14.25" customHeight="1" s="462" thickBot="1">
      <c r="B50" s="26" t="inlineStr">
        <is>
          <t>9(256)</t>
        </is>
      </c>
      <c r="C50" s="21" t="inlineStr">
        <is>
          <t>前川</t>
        </is>
      </c>
      <c r="D50" s="35" t="n"/>
      <c r="E50" s="35" t="n"/>
      <c r="F50" s="466" t="n"/>
      <c r="H50" s="468" t="n"/>
      <c r="I50" s="477" t="n"/>
      <c r="J50" s="469" t="n"/>
      <c r="K50" s="472" t="n"/>
    </row>
    <row r="51" ht="14.25" customHeight="1" s="462" thickBot="1">
      <c r="B51" s="26" t="inlineStr">
        <is>
          <t>10(257)</t>
        </is>
      </c>
      <c r="C51" s="35" t="n"/>
      <c r="D51" s="35" t="n"/>
      <c r="E51" s="35" t="n"/>
      <c r="F51" s="466" t="n"/>
    </row>
    <row r="52">
      <c r="B52" s="26" t="inlineStr">
        <is>
          <t>11(258)</t>
        </is>
      </c>
      <c r="C52" s="21" t="inlineStr">
        <is>
          <t>郡司</t>
        </is>
      </c>
      <c r="D52" s="35" t="n"/>
      <c r="E52" s="35" t="n"/>
      <c r="F52" s="466" t="n"/>
      <c r="H52" s="350" t="inlineStr">
        <is>
          <t>依頼件数</t>
        </is>
      </c>
      <c r="I52" s="465" t="n"/>
      <c r="J52" s="467" t="n"/>
      <c r="K52" s="354">
        <f>SUM(P3:P44)+SUM(SUM(#REF!))</f>
        <v/>
      </c>
    </row>
    <row r="53" ht="14.25" customHeight="1" s="462" thickBot="1">
      <c r="B53" s="26" t="inlineStr">
        <is>
          <t>12(736)</t>
        </is>
      </c>
      <c r="C53" s="21" t="n"/>
      <c r="D53" s="35" t="n"/>
      <c r="E53" s="35" t="n"/>
      <c r="F53" s="466" t="n"/>
      <c r="H53" s="468" t="n"/>
      <c r="I53" s="477" t="n"/>
      <c r="J53" s="469" t="n"/>
      <c r="K53" s="472" t="n"/>
    </row>
    <row r="54" ht="16.5" customHeight="1" s="462">
      <c r="B54" s="26" t="inlineStr">
        <is>
          <t>13(737)</t>
        </is>
      </c>
      <c r="C54" s="21" t="n"/>
      <c r="D54" s="35" t="n"/>
      <c r="E54" s="35" t="n"/>
      <c r="F54" s="466" t="n"/>
      <c r="H54" s="38" t="n"/>
      <c r="I54" s="38" t="n"/>
      <c r="J54" s="38" t="n"/>
      <c r="K54" s="39" t="n"/>
    </row>
    <row r="55" ht="16.5" customHeight="1" s="462">
      <c r="B55" s="40" t="inlineStr">
        <is>
          <t>14(738)</t>
        </is>
      </c>
      <c r="C55" s="21" t="inlineStr">
        <is>
          <t>辻井</t>
        </is>
      </c>
      <c r="D55" s="35" t="n"/>
      <c r="E55" s="35" t="n"/>
      <c r="F55" s="466" t="n"/>
      <c r="H55" s="38" t="n"/>
      <c r="I55" s="38" t="n"/>
      <c r="J55" s="38" t="n"/>
      <c r="K55" s="39" t="n"/>
    </row>
    <row r="56" ht="8.25" customHeight="1" s="462">
      <c r="B56" s="41" t="n"/>
      <c r="C56" s="42" t="n"/>
      <c r="D56" s="43" t="n"/>
      <c r="E56" s="44" t="n"/>
      <c r="F56" s="349" t="n"/>
      <c r="H56" s="38" t="n"/>
      <c r="I56" s="38" t="n"/>
      <c r="J56" s="38" t="n"/>
      <c r="K56" s="39" t="n"/>
    </row>
    <row r="57" ht="17.25" customHeight="1" s="462">
      <c r="B57" s="45" t="n">
        <v>7290</v>
      </c>
      <c r="C57" s="21" t="inlineStr">
        <is>
          <t>佐藤</t>
        </is>
      </c>
      <c r="D57" s="35" t="n"/>
      <c r="E57" s="348" t="n"/>
      <c r="F57" s="349" t="n"/>
      <c r="H57" s="38" t="n"/>
      <c r="I57" s="38" t="n"/>
      <c r="J57" s="38" t="n"/>
      <c r="K57" s="39" t="n"/>
    </row>
    <row r="58" ht="17.25" customHeight="1" s="462">
      <c r="B58" s="45" t="n">
        <v>7291</v>
      </c>
      <c r="C58" s="21" t="inlineStr">
        <is>
          <t>末次</t>
        </is>
      </c>
      <c r="D58" s="35" t="n"/>
      <c r="E58" s="348" t="n"/>
      <c r="F58" s="349" t="n"/>
      <c r="H58" s="38" t="n"/>
      <c r="I58" s="38" t="n"/>
      <c r="J58" s="38" t="n"/>
      <c r="K58" s="39" t="n"/>
    </row>
    <row r="59" ht="9" customHeight="1" s="462">
      <c r="B59" s="41" t="n"/>
      <c r="C59" s="42" t="n"/>
      <c r="D59" s="44" t="n"/>
      <c r="E59" s="44" t="n"/>
      <c r="F59" s="349" t="n"/>
      <c r="H59" s="38" t="n"/>
      <c r="I59" s="38" t="n"/>
      <c r="J59" s="38" t="n"/>
      <c r="K59" s="39" t="n"/>
    </row>
    <row r="60" ht="16.5" customHeight="1" s="462">
      <c r="B60" s="45" t="n">
        <v>333</v>
      </c>
      <c r="C60" s="21" t="inlineStr">
        <is>
          <t>金井/奥田</t>
        </is>
      </c>
      <c r="D60" s="35" t="n"/>
      <c r="E60" s="484" t="n"/>
      <c r="F60" s="469" t="n"/>
      <c r="H60" s="38" t="n"/>
      <c r="I60" s="38" t="n"/>
      <c r="J60" s="38" t="n"/>
      <c r="K60" s="39" t="n"/>
    </row>
    <row r="61" ht="16.5" customHeight="1" s="462">
      <c r="B61" s="46" t="n">
        <v>666</v>
      </c>
      <c r="C61" s="21" t="inlineStr">
        <is>
          <t>徳留</t>
        </is>
      </c>
      <c r="D61" s="35" t="n"/>
      <c r="E61" s="35" t="n"/>
      <c r="F61" s="466" t="n"/>
      <c r="H61" s="38" t="n"/>
      <c r="I61" s="38" t="n"/>
      <c r="J61" s="38" t="n"/>
      <c r="K61" s="39" t="n"/>
    </row>
    <row r="62" ht="16.5" customHeight="1" s="462">
      <c r="B62" s="46" t="n">
        <v>777</v>
      </c>
      <c r="C62" s="21" t="n"/>
      <c r="D62" s="35" t="n"/>
      <c r="E62" s="348" t="n"/>
      <c r="F62" s="349" t="n"/>
      <c r="H62" s="38" t="n"/>
      <c r="I62" s="38" t="n"/>
      <c r="J62" s="38" t="n"/>
      <c r="K62" s="39" t="n"/>
    </row>
    <row r="63" ht="16.5" customHeight="1" s="462">
      <c r="B63" s="47" t="n">
        <v>330</v>
      </c>
      <c r="C63" s="21" t="n"/>
      <c r="D63" s="35" t="n"/>
      <c r="E63" s="35" t="n"/>
      <c r="F63" s="466" t="n"/>
      <c r="H63" s="38" t="n"/>
      <c r="I63" s="38" t="n"/>
      <c r="J63" s="38" t="n"/>
      <c r="K63" s="39" t="n"/>
    </row>
    <row r="64" ht="16.5" customHeight="1" s="462">
      <c r="B64" s="47" t="n">
        <v>990</v>
      </c>
      <c r="C64" s="21" t="inlineStr">
        <is>
          <t>山原</t>
        </is>
      </c>
      <c r="D64" s="35" t="n"/>
      <c r="E64" s="35" t="n"/>
      <c r="F64" s="466" t="n"/>
      <c r="H64" s="38" t="n"/>
      <c r="I64" s="38" t="n"/>
      <c r="J64" s="38" t="n"/>
      <c r="K64" s="39" t="n"/>
    </row>
    <row r="65"/>
    <row r="66">
      <c r="C66" s="449" t="inlineStr">
        <is>
          <t>出発→到着</t>
        </is>
      </c>
      <c r="D66" s="420" t="inlineStr">
        <is>
          <t>備考</t>
        </is>
      </c>
    </row>
    <row r="67">
      <c r="B67" s="27" t="inlineStr">
        <is>
          <t>①</t>
        </is>
      </c>
      <c r="C67" s="449" t="inlineStr">
        <is>
          <t>東→西</t>
        </is>
      </c>
      <c r="D67" s="485" t="inlineStr">
        <is>
          <t>①Aチーム優先</t>
        </is>
      </c>
      <c r="E67" s="486" t="n"/>
      <c r="F67" s="486" t="n"/>
      <c r="G67" s="486" t="n"/>
      <c r="H67" s="486" t="n"/>
      <c r="I67" s="486" t="n"/>
      <c r="J67" s="466" t="n"/>
    </row>
    <row r="68">
      <c r="B68" s="27" t="inlineStr">
        <is>
          <t>②</t>
        </is>
      </c>
      <c r="C68" s="449" t="inlineStr">
        <is>
          <t>東→東</t>
        </is>
      </c>
      <c r="D68" s="485" t="inlineStr">
        <is>
          <t>②急ぎ案件の場合、道路状況も伝えてあげる。</t>
        </is>
      </c>
      <c r="E68" s="486" t="n"/>
      <c r="F68" s="486" t="n"/>
      <c r="G68" s="486" t="n"/>
      <c r="H68" s="486" t="n"/>
      <c r="I68" s="486" t="n"/>
      <c r="J68" s="466" t="n"/>
    </row>
    <row r="69">
      <c r="B69" s="27" t="inlineStr">
        <is>
          <t>③</t>
        </is>
      </c>
      <c r="C69" s="449" t="inlineStr">
        <is>
          <t>西→東</t>
        </is>
      </c>
      <c r="D69" s="485" t="inlineStr">
        <is>
          <t>③各ドライバーの位置からの帰社のタイミング・夕方の配置</t>
        </is>
      </c>
      <c r="E69" s="486" t="n"/>
      <c r="F69" s="486" t="n"/>
      <c r="G69" s="486" t="n"/>
      <c r="H69" s="486" t="n"/>
      <c r="I69" s="486" t="n"/>
      <c r="J69" s="466" t="n"/>
    </row>
    <row r="70">
      <c r="B70" s="27" t="inlineStr">
        <is>
          <t>④</t>
        </is>
      </c>
      <c r="C70" s="449" t="inlineStr">
        <is>
          <t>西→西</t>
        </is>
      </c>
      <c r="D70" s="485" t="inlineStr">
        <is>
          <t>④依頼を受ける際の、希望時間と現状の位置。行けるか行けないかの判断をしっかりと。</t>
        </is>
      </c>
      <c r="E70" s="486" t="n"/>
      <c r="F70" s="486" t="n"/>
      <c r="G70" s="486" t="n"/>
      <c r="H70" s="486" t="n"/>
      <c r="I70" s="486" t="n"/>
      <c r="J70" s="466" t="n"/>
    </row>
    <row r="71">
      <c r="D71" s="485" t="inlineStr">
        <is>
          <t>⑤軽に乗るか乗らないかの判断に気を付ける。</t>
        </is>
      </c>
      <c r="E71" s="486" t="n"/>
      <c r="F71" s="486" t="n"/>
      <c r="G71" s="486" t="n"/>
      <c r="H71" s="486" t="n"/>
      <c r="I71" s="486" t="n"/>
      <c r="J71" s="466" t="n"/>
    </row>
    <row r="72">
      <c r="B72" s="22" t="n"/>
      <c r="C72" s="420" t="inlineStr">
        <is>
          <t>現状配置(予測)</t>
        </is>
      </c>
      <c r="D72" s="485" t="inlineStr">
        <is>
          <t>⑥18/1日、1.8/1人、3件/1人</t>
        </is>
      </c>
      <c r="E72" s="486" t="n"/>
      <c r="F72" s="486" t="n"/>
      <c r="G72" s="486" t="n"/>
      <c r="H72" s="486" t="n"/>
      <c r="I72" s="486" t="n"/>
      <c r="J72" s="466" t="n"/>
    </row>
    <row r="73">
      <c r="B73" s="420" t="inlineStr">
        <is>
          <t>西(神戸西・弥栄台)</t>
        </is>
      </c>
      <c r="C73" s="420" t="n"/>
      <c r="D73" s="485" t="inlineStr">
        <is>
          <t>⑦依頼書の見落とし(日付、入替、入出庫、場所）</t>
        </is>
      </c>
      <c r="E73" s="486" t="n"/>
      <c r="F73" s="486" t="n"/>
      <c r="G73" s="486" t="n"/>
      <c r="H73" s="486" t="n"/>
      <c r="I73" s="486" t="n"/>
      <c r="J73" s="466" t="n"/>
    </row>
    <row r="74">
      <c r="B74" s="420" t="inlineStr">
        <is>
          <t>真ん中(摩耶・中央)</t>
        </is>
      </c>
      <c r="C74" s="420" t="n"/>
      <c r="D74" s="485" t="inlineStr">
        <is>
          <t>⑧3ｔ車と2ｔ車への振り方(西と東に振り分ける)</t>
        </is>
      </c>
      <c r="E74" s="486" t="n"/>
      <c r="F74" s="486" t="n"/>
      <c r="G74" s="486" t="n"/>
      <c r="H74" s="486" t="n"/>
      <c r="I74" s="486" t="n"/>
      <c r="J74" s="466" t="n"/>
    </row>
    <row r="75">
      <c r="B75" s="420" t="inlineStr">
        <is>
          <t>東(尼崎・伊丹・西宮)</t>
        </is>
      </c>
      <c r="C75" s="420" t="n"/>
      <c r="D75" s="485" t="inlineStr">
        <is>
          <t>⑨</t>
        </is>
      </c>
      <c r="E75" s="486" t="n"/>
      <c r="F75" s="486" t="n"/>
      <c r="G75" s="486" t="n"/>
      <c r="H75" s="486" t="n"/>
      <c r="I75" s="486" t="n"/>
      <c r="J75" s="466" t="n"/>
    </row>
    <row r="76">
      <c r="B76" s="48" t="inlineStr">
        <is>
          <t>極東(港区・淀屋橋)</t>
        </is>
      </c>
      <c r="C76" s="420" t="n"/>
      <c r="D76" s="49" t="n"/>
      <c r="E76" s="49" t="n"/>
      <c r="F76" s="49" t="n"/>
      <c r="G76" s="49" t="n"/>
      <c r="H76" s="49" t="n"/>
      <c r="I76" s="49" t="n"/>
      <c r="J76" s="49" t="n"/>
    </row>
    <row r="77" ht="14.25" customHeight="1" s="462" thickBot="1"/>
    <row r="78">
      <c r="C78" s="473" t="inlineStr">
        <is>
          <t>合計額/380</t>
        </is>
      </c>
      <c r="D78" s="358">
        <f>SUM(G78)</f>
        <v/>
      </c>
      <c r="F78" s="360" t="inlineStr">
        <is>
          <t>売り上げ額</t>
        </is>
      </c>
      <c r="G78" s="362">
        <f>SUM(SUM(K4:K44))+SUM(#REF!)</f>
        <v/>
      </c>
      <c r="H78" s="465" t="n"/>
      <c r="I78" s="465" t="n"/>
      <c r="J78" s="467" t="n"/>
    </row>
    <row r="79" ht="14.25" customHeight="1" s="462" thickBot="1">
      <c r="C79" s="474" t="n"/>
      <c r="D79" s="475" t="n"/>
      <c r="F79" s="468" t="n"/>
      <c r="G79" s="476" t="n"/>
      <c r="H79" s="477" t="n"/>
      <c r="I79" s="477" t="n"/>
      <c r="J79" s="469" t="n"/>
    </row>
    <row r="80">
      <c r="C80" s="478" t="inlineStr">
        <is>
          <t>前日までの売上合計額</t>
        </is>
      </c>
      <c r="D80" s="479">
        <f>SUM(B89)</f>
        <v/>
      </c>
    </row>
    <row r="81" ht="14.25" customHeight="1" s="462" thickBot="1">
      <c r="C81" s="480" t="n"/>
      <c r="D81" s="480" t="n"/>
      <c r="F81" s="420" t="inlineStr">
        <is>
          <t>金井（55)</t>
        </is>
      </c>
      <c r="G81" s="345" t="n"/>
      <c r="H81" s="466" t="n"/>
      <c r="I81" s="130" t="n"/>
    </row>
    <row r="82" ht="14.25" customHeight="1" s="462" thickTop="1">
      <c r="D82" s="346">
        <f>D78+D80</f>
        <v/>
      </c>
      <c r="F82" s="420" t="inlineStr">
        <is>
          <t>粟津(55)</t>
        </is>
      </c>
      <c r="G82" s="340" t="n"/>
      <c r="H82" s="466" t="n"/>
      <c r="I82" s="131" t="n"/>
    </row>
    <row r="83">
      <c r="F83" s="420" t="inlineStr">
        <is>
          <t>砂川(50)</t>
        </is>
      </c>
      <c r="G83" s="340" t="n"/>
      <c r="H83" s="466" t="n"/>
      <c r="I83" s="131" t="n"/>
    </row>
    <row r="84">
      <c r="C84" s="2" t="inlineStr">
        <is>
          <t>高代</t>
        </is>
      </c>
      <c r="F84" s="420" t="inlineStr">
        <is>
          <t>前川(50)</t>
        </is>
      </c>
      <c r="G84" s="340" t="n"/>
      <c r="H84" s="466" t="n"/>
      <c r="I84" s="131" t="n"/>
    </row>
    <row r="85">
      <c r="C85" s="2" t="inlineStr">
        <is>
          <t>返還代</t>
        </is>
      </c>
      <c r="F85" s="420" t="inlineStr">
        <is>
          <t>佐藤(50)</t>
        </is>
      </c>
      <c r="G85" s="345" t="n"/>
      <c r="H85" s="466" t="n"/>
      <c r="I85" s="130" t="n"/>
    </row>
    <row r="86">
      <c r="C86" s="2" t="inlineStr">
        <is>
          <t>回収率</t>
        </is>
      </c>
      <c r="D86" s="50">
        <f>D85/D84</f>
        <v/>
      </c>
      <c r="F86" s="420" t="inlineStr">
        <is>
          <t>末次(55)</t>
        </is>
      </c>
      <c r="G86" s="340" t="n"/>
      <c r="H86" s="466" t="n"/>
      <c r="I86" s="131" t="n"/>
    </row>
    <row r="87">
      <c r="C87" s="2" t="inlineStr">
        <is>
          <t>費</t>
        </is>
      </c>
      <c r="D87" s="2">
        <f>D84-D85</f>
        <v/>
      </c>
      <c r="F87" s="420" t="inlineStr">
        <is>
          <t>筒井(75)</t>
        </is>
      </c>
      <c r="G87" s="340" t="n"/>
      <c r="H87" s="466" t="n"/>
      <c r="I87" s="131" t="n"/>
    </row>
    <row r="88">
      <c r="F88" s="420" t="inlineStr">
        <is>
          <t>山岸(40)</t>
        </is>
      </c>
      <c r="G88" s="340" t="n"/>
      <c r="H88" s="466" t="n"/>
      <c r="I88" s="131" t="n"/>
    </row>
    <row r="89" ht="23.25" customHeight="1" s="462">
      <c r="B89" s="71" t="n"/>
      <c r="F89" s="420" t="inlineStr">
        <is>
          <t>多苗(30)</t>
        </is>
      </c>
      <c r="G89" s="340" t="n"/>
      <c r="H89" s="466" t="n"/>
      <c r="I89" s="131" t="n"/>
      <c r="L89" s="2" t="inlineStr">
        <is>
          <t> </t>
        </is>
      </c>
    </row>
  </sheetData>
  <mergeCells count="58">
    <mergeCell ref="D71:J71"/>
    <mergeCell ref="E50:F50"/>
    <mergeCell ref="G81:H81"/>
    <mergeCell ref="Q3:R3"/>
    <mergeCell ref="E55:F55"/>
    <mergeCell ref="G86:H86"/>
    <mergeCell ref="D74:J74"/>
    <mergeCell ref="D68:J68"/>
    <mergeCell ref="D80:D81"/>
    <mergeCell ref="D73:J73"/>
    <mergeCell ref="E52:F52"/>
    <mergeCell ref="Q33:R33"/>
    <mergeCell ref="E48:F48"/>
    <mergeCell ref="G78:J79"/>
    <mergeCell ref="D67:J67"/>
    <mergeCell ref="E64:F64"/>
    <mergeCell ref="G82:H82"/>
    <mergeCell ref="C80:C81"/>
    <mergeCell ref="B2:C2"/>
    <mergeCell ref="E51:F51"/>
    <mergeCell ref="Q5:R5"/>
    <mergeCell ref="K47:K48"/>
    <mergeCell ref="E63:F63"/>
    <mergeCell ref="D69:J69"/>
    <mergeCell ref="D78:D79"/>
    <mergeCell ref="E60:F60"/>
    <mergeCell ref="Q35:R35"/>
    <mergeCell ref="Q4:R4"/>
    <mergeCell ref="Q31:R31"/>
    <mergeCell ref="G87:H87"/>
    <mergeCell ref="E47:F47"/>
    <mergeCell ref="G83:H83"/>
    <mergeCell ref="Q34:R34"/>
    <mergeCell ref="K52:K53"/>
    <mergeCell ref="H49:J50"/>
    <mergeCell ref="Q6:R6"/>
    <mergeCell ref="E49:F49"/>
    <mergeCell ref="H52:J53"/>
    <mergeCell ref="Q44:R44"/>
    <mergeCell ref="C78:C79"/>
    <mergeCell ref="G89:H89"/>
    <mergeCell ref="Q9:R9"/>
    <mergeCell ref="Q36:R36"/>
    <mergeCell ref="E61:F61"/>
    <mergeCell ref="G88:H88"/>
    <mergeCell ref="Q30:R30"/>
    <mergeCell ref="E54:F54"/>
    <mergeCell ref="D70:J70"/>
    <mergeCell ref="G85:H85"/>
    <mergeCell ref="D82:D83"/>
    <mergeCell ref="D75:J75"/>
    <mergeCell ref="F78:F79"/>
    <mergeCell ref="E53:F53"/>
    <mergeCell ref="Q41:R41"/>
    <mergeCell ref="H47:J48"/>
    <mergeCell ref="D72:J72"/>
    <mergeCell ref="G84:H84"/>
    <mergeCell ref="K49:K50"/>
  </mergeCells>
  <conditionalFormatting sqref="K49:K50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:L44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D5:D52">
    <cfRule type="containsText" priority="7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85"/>
</worksheet>
</file>

<file path=xl/worksheets/sheet48.xml><?xml version="1.0" encoding="utf-8"?>
<worksheet xmlns="http://schemas.openxmlformats.org/spreadsheetml/2006/main">
  <sheetPr codeName="Sheet48">
    <outlinePr summaryBelow="1" summaryRight="1"/>
    <pageSetUpPr fitToPage="1"/>
  </sheetPr>
  <dimension ref="A1:R75"/>
  <sheetViews>
    <sheetView zoomScaleNormal="100" workbookViewId="0">
      <selection activeCell="I5" sqref="I5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outlineLevel="1" width="20.25" customWidth="1" style="77" min="11" max="11"/>
    <col width="8.75" customWidth="1" style="449" min="12" max="13"/>
    <col width="8.75" customWidth="1" style="2" min="14" max="16384"/>
  </cols>
  <sheetData>
    <row r="1"/>
    <row r="2" ht="15" customHeight="1" s="462" thickBot="1">
      <c r="B2" s="493" t="n">
        <v>46199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4" t="n"/>
      <c r="D13" s="441" t="n"/>
      <c r="E13" s="63" t="n"/>
      <c r="F13" s="441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2" t="n"/>
      <c r="D20" s="63" t="n"/>
      <c r="E20" s="441" t="n"/>
      <c r="F20" s="57" t="n"/>
      <c r="G20" s="66" t="n"/>
      <c r="H20" s="74" t="n"/>
      <c r="I20" s="8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57" t="n"/>
      <c r="G21" s="66" t="n"/>
      <c r="H21" s="74" t="n"/>
      <c r="I21" s="74" t="n"/>
      <c r="J21" s="420" t="n"/>
      <c r="K21" s="73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57" t="n"/>
      <c r="C22" s="420" t="n"/>
      <c r="D22" s="63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57" t="n"/>
      <c r="C23" s="57" t="n"/>
      <c r="D23" s="441" t="n"/>
      <c r="E23" s="441" t="n"/>
      <c r="F23" s="57" t="n"/>
      <c r="G23" s="66" t="n"/>
      <c r="H23" s="74" t="n"/>
      <c r="I23" s="80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441" t="n"/>
      <c r="C24" s="440" t="n"/>
      <c r="D24" s="441" t="n"/>
      <c r="E24" s="440" t="n"/>
      <c r="F24" s="57" t="n"/>
      <c r="G24" s="65" t="n"/>
      <c r="H24" s="74" t="n"/>
      <c r="I24" s="74" t="n"/>
      <c r="J24" s="420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441" t="n"/>
      <c r="C26" s="63" t="n"/>
      <c r="D26" s="440" t="n"/>
      <c r="E26" s="441" t="n"/>
      <c r="F26" s="57" t="n"/>
      <c r="G26" s="59" t="n"/>
      <c r="H26" s="60" t="n"/>
      <c r="I26" s="60" t="n"/>
      <c r="J26" s="57" t="n"/>
      <c r="K26" s="73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441" t="n"/>
      <c r="C27" s="63" t="n"/>
      <c r="D27" s="440" t="n"/>
      <c r="E27" s="441" t="n"/>
      <c r="F27" s="57" t="n"/>
      <c r="G27" s="59" t="n"/>
      <c r="H27" s="60" t="n"/>
      <c r="I27" s="60" t="n"/>
      <c r="J27" s="57" t="n"/>
      <c r="K27" s="73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27.75" customHeight="1" s="462">
      <c r="A28" s="423">
        <f>IF(B28="","",COUNTA($B$5:B28))</f>
        <v/>
      </c>
      <c r="B28" s="420" t="n"/>
      <c r="C28" s="420" t="n"/>
      <c r="D28" s="420" t="n"/>
      <c r="E28" s="420" t="n"/>
      <c r="F28" s="420" t="n"/>
      <c r="G28" s="69" t="n"/>
      <c r="H28" s="70" t="n"/>
      <c r="I28" s="70" t="n"/>
      <c r="J28" s="420" t="n"/>
      <c r="K28" s="2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</row>
    <row r="29" ht="27" customHeight="1" s="462">
      <c r="B29" s="18" t="n"/>
      <c r="C29" s="18" t="n"/>
      <c r="D29" s="18" t="n"/>
      <c r="E29" s="18" t="n"/>
      <c r="F29" s="18" t="n"/>
      <c r="G29" s="19" t="n"/>
      <c r="H29" s="33" t="n"/>
      <c r="I29" s="18" t="n"/>
      <c r="J29" s="18" t="n"/>
      <c r="K29" s="18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2" t="n"/>
      <c r="M29" s="2" t="n"/>
    </row>
    <row r="30" ht="27" customHeight="1" s="462" thickBot="1">
      <c r="K30" s="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2" t="n"/>
      <c r="M30" s="2" t="n"/>
    </row>
    <row r="31" ht="27" customHeight="1" s="462">
      <c r="B31" s="22" t="n"/>
      <c r="C31" s="25" t="n"/>
      <c r="D31" s="25" t="inlineStr">
        <is>
          <t>現在待機場所</t>
        </is>
      </c>
      <c r="E31" s="25" t="inlineStr">
        <is>
          <t>待機予定場所</t>
        </is>
      </c>
      <c r="F31" s="466" t="n"/>
      <c r="H31" s="375" t="inlineStr">
        <is>
          <t>目標距離</t>
        </is>
      </c>
      <c r="I31" s="465" t="n"/>
      <c r="J31" s="467" t="n"/>
      <c r="K31" s="377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2" t="n"/>
      <c r="M31" s="2" t="n"/>
    </row>
    <row r="32" ht="27" customHeight="1" s="462" thickBot="1">
      <c r="B32" s="26" t="inlineStr">
        <is>
          <t>2(255)</t>
        </is>
      </c>
      <c r="C32" s="21" t="inlineStr">
        <is>
          <t>山岸</t>
        </is>
      </c>
      <c r="D32" s="34" t="n"/>
      <c r="E32" s="34" t="n"/>
      <c r="F32" s="466" t="n"/>
      <c r="H32" s="468" t="n"/>
      <c r="I32" s="477" t="n"/>
      <c r="J32" s="469" t="n"/>
      <c r="K32" s="470" t="n"/>
      <c r="L32" s="2" t="n"/>
      <c r="M32" s="2" t="n"/>
    </row>
    <row r="33">
      <c r="B33" s="26" t="inlineStr">
        <is>
          <t>8(254)</t>
        </is>
      </c>
      <c r="C33" s="21" t="inlineStr">
        <is>
          <t>砂川</t>
        </is>
      </c>
      <c r="D33" s="35" t="n"/>
      <c r="E33" s="35" t="n"/>
      <c r="F33" s="466" t="n"/>
      <c r="H33" s="368" t="inlineStr">
        <is>
          <t>残距離</t>
        </is>
      </c>
      <c r="J33" s="471" t="n"/>
      <c r="K33" s="354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2" t="n"/>
      <c r="M33" s="2" t="n"/>
    </row>
    <row r="34" ht="14.25" customHeight="1" s="462" thickBot="1">
      <c r="B34" s="26" t="inlineStr">
        <is>
          <t>9(256)</t>
        </is>
      </c>
      <c r="C34" s="21" t="inlineStr">
        <is>
          <t>前川</t>
        </is>
      </c>
      <c r="D34" s="35" t="n"/>
      <c r="E34" s="35" t="n"/>
      <c r="F34" s="466" t="n"/>
      <c r="H34" s="468" t="n"/>
      <c r="I34" s="477" t="n"/>
      <c r="J34" s="469" t="n"/>
      <c r="K34" s="472" t="n"/>
      <c r="L34" s="2" t="n"/>
      <c r="M34" s="2" t="n"/>
    </row>
    <row r="35" ht="14.25" customHeight="1" s="462" thickBot="1">
      <c r="B35" s="26" t="inlineStr">
        <is>
          <t>10(257)</t>
        </is>
      </c>
      <c r="C35" s="35" t="n"/>
      <c r="D35" s="35" t="n"/>
      <c r="E35" s="35" t="n"/>
      <c r="F35" s="466" t="n"/>
      <c r="K35" s="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2" t="n"/>
      <c r="M35" s="2" t="n"/>
    </row>
    <row r="36">
      <c r="B36" s="26" t="inlineStr">
        <is>
          <t>11(258)</t>
        </is>
      </c>
      <c r="C36" s="21" t="inlineStr">
        <is>
          <t>郡司</t>
        </is>
      </c>
      <c r="D36" s="35" t="n"/>
      <c r="E36" s="35" t="n"/>
      <c r="F36" s="466" t="n"/>
      <c r="H36" s="350" t="inlineStr">
        <is>
          <t>依頼件数</t>
        </is>
      </c>
      <c r="I36" s="465" t="n"/>
      <c r="J36" s="467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2" t="n"/>
      <c r="M36" s="2" t="n"/>
    </row>
    <row r="37" ht="14.25" customHeight="1" s="462" thickBot="1">
      <c r="B37" s="26" t="inlineStr">
        <is>
          <t>12(736)</t>
        </is>
      </c>
      <c r="C37" s="21" t="n"/>
      <c r="D37" s="35" t="n"/>
      <c r="E37" s="35" t="n"/>
      <c r="F37" s="466" t="n"/>
      <c r="H37" s="468" t="n"/>
      <c r="I37" s="477" t="n"/>
      <c r="J37" s="469" t="n"/>
      <c r="K37" s="472" t="n"/>
      <c r="L37" s="2" t="n"/>
      <c r="M37" s="2" t="n"/>
    </row>
    <row r="38" ht="17.25" customHeight="1" s="462">
      <c r="B38" s="26" t="inlineStr">
        <is>
          <t>13(737)</t>
        </is>
      </c>
      <c r="C38" s="21" t="n"/>
      <c r="D38" s="35" t="n"/>
      <c r="E38" s="35" t="n"/>
      <c r="F38" s="466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2" t="n"/>
      <c r="M38" s="2" t="n"/>
    </row>
    <row r="39" ht="17.25" customHeight="1" s="462">
      <c r="B39" s="40" t="inlineStr">
        <is>
          <t>14(738)</t>
        </is>
      </c>
      <c r="C39" s="21" t="inlineStr">
        <is>
          <t>辻井</t>
        </is>
      </c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2" t="n"/>
      <c r="M39" s="2" t="n"/>
    </row>
    <row r="40" ht="17.25" customHeight="1" s="462">
      <c r="B40" s="41" t="n"/>
      <c r="C40" s="42" t="n"/>
      <c r="D40" s="43" t="n"/>
      <c r="E40" s="44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2" t="n"/>
      <c r="M40" s="2" t="n"/>
    </row>
    <row r="41" ht="17.25" customHeight="1" s="462">
      <c r="B41" s="45" t="n">
        <v>7290</v>
      </c>
      <c r="C41" s="21" t="inlineStr">
        <is>
          <t>佐藤</t>
        </is>
      </c>
      <c r="D41" s="35" t="n"/>
      <c r="E41" s="348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2" t="n"/>
      <c r="M41" s="2" t="n"/>
    </row>
    <row r="42" ht="16.5" customHeight="1" s="462">
      <c r="B42" s="45" t="n">
        <v>7291</v>
      </c>
      <c r="C42" s="21" t="inlineStr">
        <is>
          <t>末次</t>
        </is>
      </c>
      <c r="D42" s="35" t="n"/>
      <c r="E42" s="348" t="n"/>
      <c r="F42" s="34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2" t="n"/>
      <c r="M42" s="2" t="n"/>
    </row>
    <row r="43" ht="16.5" customHeight="1" s="462">
      <c r="B43" s="41" t="n"/>
      <c r="C43" s="42" t="n"/>
      <c r="D43" s="44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2" t="n"/>
      <c r="M43" s="2" t="n"/>
    </row>
    <row r="44" ht="8.25" customHeight="1" s="462">
      <c r="B44" s="45" t="n">
        <v>333</v>
      </c>
      <c r="C44" s="21" t="inlineStr">
        <is>
          <t>金井/奥田</t>
        </is>
      </c>
      <c r="D44" s="35" t="n"/>
      <c r="E44" s="484" t="n"/>
      <c r="F44" s="46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  <c r="M44" s="2" t="n"/>
    </row>
    <row r="45" ht="17.25" customHeight="1" s="462">
      <c r="B45" s="46" t="n">
        <v>666</v>
      </c>
      <c r="C45" s="21" t="inlineStr">
        <is>
          <t>徳留</t>
        </is>
      </c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  <c r="M45" s="2" t="n"/>
    </row>
    <row r="46" ht="17.25" customHeight="1" s="462">
      <c r="B46" s="46" t="n">
        <v>777</v>
      </c>
      <c r="C46" s="21" t="n"/>
      <c r="D46" s="35" t="n"/>
      <c r="E46" s="348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2" t="n"/>
      <c r="M46" s="2" t="n"/>
    </row>
    <row r="47" ht="9" customHeight="1" s="462">
      <c r="B47" s="47" t="n">
        <v>330</v>
      </c>
      <c r="C47" s="21" t="n"/>
      <c r="D47" s="35" t="n"/>
      <c r="E47" s="35" t="n"/>
      <c r="F47" s="466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7" s="2" t="n"/>
      <c r="M47" s="2" t="n"/>
    </row>
    <row r="48" ht="16.5" customHeight="1" s="462">
      <c r="B48" s="47" t="n">
        <v>990</v>
      </c>
      <c r="C48" s="21" t="inlineStr">
        <is>
          <t>山原</t>
        </is>
      </c>
      <c r="D48" s="35" t="n"/>
      <c r="E48" s="35" t="n"/>
      <c r="F48" s="466" t="n"/>
      <c r="H48" s="38" t="n"/>
      <c r="I48" s="38" t="n"/>
      <c r="J48" s="38" t="n"/>
      <c r="K48" s="39" t="n"/>
      <c r="L48" s="2" t="n"/>
      <c r="M48" s="2" t="n"/>
    </row>
    <row r="49" ht="16.5" customHeight="1" s="462">
      <c r="K49" s="2" t="n"/>
      <c r="L49" s="2" t="n"/>
      <c r="M49" s="2" t="n"/>
    </row>
    <row r="50" ht="16.5" customHeight="1" s="462">
      <c r="C50" s="449" t="inlineStr">
        <is>
          <t>出発→到着</t>
        </is>
      </c>
      <c r="D50" s="420" t="inlineStr">
        <is>
          <t>備考</t>
        </is>
      </c>
      <c r="K50" s="2" t="n"/>
      <c r="L50" s="2" t="n"/>
      <c r="M50" s="2" t="n"/>
    </row>
    <row r="51" ht="16.5" customHeight="1" s="462">
      <c r="B51" s="27" t="inlineStr">
        <is>
          <t>①</t>
        </is>
      </c>
      <c r="C51" s="449" t="inlineStr">
        <is>
          <t>東→西</t>
        </is>
      </c>
      <c r="D51" s="485" t="inlineStr">
        <is>
          <t>①Aチーム優先</t>
        </is>
      </c>
      <c r="E51" s="486" t="n"/>
      <c r="F51" s="486" t="n"/>
      <c r="G51" s="486" t="n"/>
      <c r="H51" s="486" t="n"/>
      <c r="I51" s="486" t="n"/>
      <c r="J51" s="466" t="n"/>
      <c r="K51" s="2" t="n"/>
      <c r="L51" s="2" t="n"/>
      <c r="M51" s="2" t="n"/>
    </row>
    <row r="52" ht="16.5" customHeight="1" s="462">
      <c r="B52" s="27" t="inlineStr">
        <is>
          <t>②</t>
        </is>
      </c>
      <c r="C52" s="449" t="inlineStr">
        <is>
          <t>東→東</t>
        </is>
      </c>
      <c r="D52" s="485" t="inlineStr">
        <is>
          <t>②急ぎ案件の場合、道路状況も伝えてあげる。</t>
        </is>
      </c>
      <c r="E52" s="486" t="n"/>
      <c r="F52" s="486" t="n"/>
      <c r="G52" s="486" t="n"/>
      <c r="H52" s="486" t="n"/>
      <c r="I52" s="486" t="n"/>
      <c r="J52" s="466" t="n"/>
      <c r="K52" s="2" t="n"/>
      <c r="L52" s="2" t="n"/>
      <c r="M52" s="2" t="n"/>
    </row>
    <row r="53">
      <c r="B53" s="27" t="inlineStr">
        <is>
          <t>③</t>
        </is>
      </c>
      <c r="C53" s="449" t="inlineStr">
        <is>
          <t>西→東</t>
        </is>
      </c>
      <c r="D53" s="485" t="inlineStr">
        <is>
          <t>③各ドライバーの位置からの帰社のタイミング・夕方の配置</t>
        </is>
      </c>
      <c r="E53" s="486" t="n"/>
      <c r="F53" s="486" t="n"/>
      <c r="G53" s="486" t="n"/>
      <c r="H53" s="486" t="n"/>
      <c r="I53" s="486" t="n"/>
      <c r="J53" s="466" t="n"/>
      <c r="K53" s="2" t="n"/>
      <c r="L53" s="2" t="n"/>
      <c r="M53" s="2" t="n"/>
    </row>
    <row r="54">
      <c r="B54" s="27" t="inlineStr">
        <is>
          <t>④</t>
        </is>
      </c>
      <c r="C54" s="449" t="inlineStr">
        <is>
          <t>西→西</t>
        </is>
      </c>
      <c r="D54" s="485" t="inlineStr">
        <is>
          <t>④依頼を受ける際の、希望時間と現状の位置。行けるか行けないかの判断をしっかりと。</t>
        </is>
      </c>
      <c r="E54" s="486" t="n"/>
      <c r="F54" s="486" t="n"/>
      <c r="G54" s="486" t="n"/>
      <c r="H54" s="486" t="n"/>
      <c r="I54" s="486" t="n"/>
      <c r="J54" s="466" t="n"/>
      <c r="K54" s="2" t="n"/>
      <c r="L54" s="2" t="n"/>
      <c r="M54" s="2" t="n"/>
    </row>
    <row r="55">
      <c r="D55" s="485" t="inlineStr">
        <is>
          <t>⑤軽に乗るか乗らないかの判断に気を付ける。</t>
        </is>
      </c>
      <c r="E55" s="486" t="n"/>
      <c r="F55" s="486" t="n"/>
      <c r="G55" s="486" t="n"/>
      <c r="H55" s="486" t="n"/>
      <c r="I55" s="486" t="n"/>
      <c r="J55" s="466" t="n"/>
      <c r="K55" s="2" t="n"/>
      <c r="L55" s="2" t="n"/>
      <c r="M55" s="2" t="n"/>
    </row>
    <row r="56">
      <c r="B56" s="22" t="n"/>
      <c r="C56" s="420" t="inlineStr">
        <is>
          <t>現状配置(予測)</t>
        </is>
      </c>
      <c r="D56" s="485" t="inlineStr">
        <is>
          <t>⑥18/1日、1.8/1人、3件/1人</t>
        </is>
      </c>
      <c r="E56" s="486" t="n"/>
      <c r="F56" s="486" t="n"/>
      <c r="G56" s="486" t="n"/>
      <c r="H56" s="486" t="n"/>
      <c r="I56" s="486" t="n"/>
      <c r="J56" s="466" t="n"/>
      <c r="K56" s="2" t="n"/>
      <c r="L56" s="2" t="n"/>
      <c r="M56" s="2" t="n"/>
    </row>
    <row r="57">
      <c r="B57" s="420" t="inlineStr">
        <is>
          <t>西(神戸西・弥栄台)</t>
        </is>
      </c>
      <c r="C57" s="420" t="n"/>
      <c r="D57" s="485" t="inlineStr">
        <is>
          <t>⑦依頼書の見落とし(日付、入替、入出庫、場所）</t>
        </is>
      </c>
      <c r="E57" s="486" t="n"/>
      <c r="F57" s="486" t="n"/>
      <c r="G57" s="486" t="n"/>
      <c r="H57" s="486" t="n"/>
      <c r="I57" s="486" t="n"/>
      <c r="J57" s="466" t="n"/>
      <c r="K57" s="2" t="n"/>
      <c r="L57" s="2" t="n"/>
      <c r="M57" s="2" t="n"/>
    </row>
    <row r="58">
      <c r="B58" s="420" t="inlineStr">
        <is>
          <t>真ん中(摩耶・中央)</t>
        </is>
      </c>
      <c r="C58" s="420" t="n"/>
      <c r="D58" s="485" t="inlineStr">
        <is>
          <t>⑧3ｔ車と2ｔ車への振り方(西と東に振り分ける)</t>
        </is>
      </c>
      <c r="E58" s="486" t="n"/>
      <c r="F58" s="486" t="n"/>
      <c r="G58" s="486" t="n"/>
      <c r="H58" s="486" t="n"/>
      <c r="I58" s="486" t="n"/>
      <c r="J58" s="466" t="n"/>
      <c r="K58" s="2" t="n"/>
      <c r="L58" s="2" t="n"/>
      <c r="M58" s="2" t="n"/>
    </row>
    <row r="59">
      <c r="B59" s="420" t="inlineStr">
        <is>
          <t>東(尼崎・伊丹・西宮)</t>
        </is>
      </c>
      <c r="C59" s="420" t="n"/>
      <c r="D59" s="485" t="inlineStr">
        <is>
          <t>⑨</t>
        </is>
      </c>
      <c r="E59" s="486" t="n"/>
      <c r="F59" s="486" t="n"/>
      <c r="G59" s="486" t="n"/>
      <c r="H59" s="486" t="n"/>
      <c r="I59" s="486" t="n"/>
      <c r="J59" s="466" t="n"/>
      <c r="K59" s="2" t="n"/>
      <c r="L59" s="2" t="n"/>
      <c r="M59" s="2" t="n"/>
    </row>
    <row r="60">
      <c r="B60" s="48" t="inlineStr">
        <is>
          <t>極東(港区・淀屋橋)</t>
        </is>
      </c>
      <c r="C60" s="420" t="n"/>
      <c r="D60" s="49" t="n"/>
      <c r="E60" s="49" t="n"/>
      <c r="F60" s="49" t="n"/>
      <c r="G60" s="49" t="n"/>
      <c r="H60" s="49" t="n"/>
      <c r="I60" s="49" t="n"/>
      <c r="J60" s="49" t="n"/>
      <c r="K60" s="2" t="n"/>
      <c r="L60" s="2" t="n"/>
      <c r="M60" s="2" t="n"/>
    </row>
    <row r="61" ht="14.25" customHeight="1" s="462" thickBot="1">
      <c r="K61" s="2" t="n"/>
      <c r="L61" s="2" t="n"/>
      <c r="M61" s="2" t="n"/>
    </row>
    <row r="62">
      <c r="C62" s="473" t="inlineStr">
        <is>
          <t>合計額/380</t>
        </is>
      </c>
      <c r="D62" s="358">
        <f>SUM(G62)</f>
        <v/>
      </c>
      <c r="F62" s="360" t="inlineStr">
        <is>
          <t>売り上げ額</t>
        </is>
      </c>
      <c r="G62" s="362">
        <f>SUM(SUM(K4:K28))+SUM(#REF!)</f>
        <v/>
      </c>
      <c r="H62" s="465" t="n"/>
      <c r="I62" s="465" t="n"/>
      <c r="J62" s="467" t="n"/>
      <c r="K62" s="2" t="n"/>
      <c r="L62" s="2" t="n"/>
      <c r="M62" s="2" t="n"/>
    </row>
    <row r="63" ht="14.25" customHeight="1" s="462" thickBot="1">
      <c r="C63" s="474" t="n"/>
      <c r="D63" s="475" t="n"/>
      <c r="F63" s="468" t="n"/>
      <c r="G63" s="476" t="n"/>
      <c r="H63" s="477" t="n"/>
      <c r="I63" s="477" t="n"/>
      <c r="J63" s="469" t="n"/>
      <c r="K63" s="2" t="n"/>
      <c r="L63" s="2" t="n"/>
      <c r="M63" s="2" t="n"/>
    </row>
    <row r="64">
      <c r="C64" s="478" t="inlineStr">
        <is>
          <t>前日までの売上合計額</t>
        </is>
      </c>
      <c r="D64" s="479">
        <f>SUM(B73)</f>
        <v/>
      </c>
      <c r="K64" s="2" t="n"/>
      <c r="L64" s="2" t="n"/>
      <c r="M64" s="2" t="n"/>
    </row>
    <row r="65" ht="14.25" customHeight="1" s="462" thickBot="1">
      <c r="C65" s="480" t="n"/>
      <c r="D65" s="480" t="n"/>
      <c r="F65" s="420" t="inlineStr">
        <is>
          <t>金井（55)</t>
        </is>
      </c>
      <c r="G65" s="345" t="n"/>
      <c r="H65" s="466" t="n"/>
      <c r="I65" s="130" t="n"/>
      <c r="K65" s="2" t="n"/>
      <c r="L65" s="2" t="n"/>
      <c r="M65" s="2" t="n"/>
    </row>
    <row r="66" ht="14.25" customHeight="1" s="462" thickTop="1">
      <c r="D66" s="346">
        <f>D62+D64</f>
        <v/>
      </c>
      <c r="F66" s="420" t="inlineStr">
        <is>
          <t>粟津(55)</t>
        </is>
      </c>
      <c r="G66" s="340" t="n"/>
      <c r="H66" s="466" t="n"/>
      <c r="I66" s="131" t="n"/>
      <c r="K66" s="2" t="n"/>
      <c r="L66" s="2" t="n"/>
      <c r="M66" s="2" t="n"/>
    </row>
    <row r="67">
      <c r="F67" s="420" t="inlineStr">
        <is>
          <t>砂川(50)</t>
        </is>
      </c>
      <c r="G67" s="340" t="n"/>
      <c r="H67" s="466" t="n"/>
      <c r="I67" s="131" t="n"/>
      <c r="K67" s="2" t="n"/>
      <c r="L67" s="2" t="n"/>
      <c r="M67" s="2" t="n"/>
    </row>
    <row r="68">
      <c r="C68" s="2" t="inlineStr">
        <is>
          <t>高代</t>
        </is>
      </c>
      <c r="F68" s="420" t="inlineStr">
        <is>
          <t>前川(50)</t>
        </is>
      </c>
      <c r="G68" s="340" t="n"/>
      <c r="H68" s="466" t="n"/>
      <c r="I68" s="131" t="n"/>
      <c r="K68" s="2" t="n"/>
      <c r="L68" s="2" t="n"/>
      <c r="M68" s="2" t="n"/>
    </row>
    <row r="69">
      <c r="C69" s="2" t="inlineStr">
        <is>
          <t>返還代</t>
        </is>
      </c>
      <c r="F69" s="420" t="inlineStr">
        <is>
          <t>佐藤(50)</t>
        </is>
      </c>
      <c r="G69" s="345" t="n"/>
      <c r="H69" s="466" t="n"/>
      <c r="I69" s="130" t="n"/>
      <c r="K69" s="2" t="n"/>
      <c r="L69" s="2" t="n"/>
      <c r="M69" s="2" t="n"/>
    </row>
    <row r="70">
      <c r="C70" s="2" t="inlineStr">
        <is>
          <t>回収率</t>
        </is>
      </c>
      <c r="D70" s="50">
        <f>D69/D68</f>
        <v/>
      </c>
      <c r="F70" s="420" t="inlineStr">
        <is>
          <t>末次(55)</t>
        </is>
      </c>
      <c r="G70" s="340" t="n"/>
      <c r="H70" s="466" t="n"/>
      <c r="I70" s="131" t="n"/>
      <c r="K70" s="2" t="n"/>
      <c r="L70" s="2" t="n"/>
      <c r="M70" s="2" t="n"/>
    </row>
    <row r="71">
      <c r="C71" s="2" t="inlineStr">
        <is>
          <t>費</t>
        </is>
      </c>
      <c r="D71" s="2">
        <f>D68-D69</f>
        <v/>
      </c>
      <c r="F71" s="420" t="inlineStr">
        <is>
          <t>筒井(75)</t>
        </is>
      </c>
      <c r="G71" s="340" t="n"/>
      <c r="H71" s="466" t="n"/>
      <c r="I71" s="131" t="n"/>
      <c r="K71" s="2" t="n"/>
      <c r="L71" s="2" t="n"/>
      <c r="M71" s="2" t="n"/>
    </row>
    <row r="72">
      <c r="F72" s="420" t="inlineStr">
        <is>
          <t>山岸(40)</t>
        </is>
      </c>
      <c r="G72" s="340" t="n"/>
      <c r="H72" s="466" t="n"/>
      <c r="I72" s="131" t="n"/>
      <c r="K72" s="2" t="n"/>
      <c r="L72" s="2" t="n"/>
      <c r="M72" s="2" t="n"/>
    </row>
    <row r="73" ht="17.25" customHeight="1" s="462">
      <c r="B73" s="71" t="n"/>
      <c r="F73" s="420" t="inlineStr">
        <is>
          <t>多苗(30)</t>
        </is>
      </c>
      <c r="G73" s="340" t="n"/>
      <c r="H73" s="466" t="n"/>
      <c r="I73" s="131" t="n"/>
      <c r="K73" s="2" t="n"/>
      <c r="L73" s="2" t="inlineStr">
        <is>
          <t> </t>
        </is>
      </c>
      <c r="M73" s="2" t="n"/>
    </row>
    <row r="74">
      <c r="K74" s="2" t="n"/>
      <c r="L74" s="2" t="n"/>
      <c r="M74" s="2" t="n"/>
    </row>
    <row r="75">
      <c r="K75" s="2" t="n"/>
      <c r="L75" s="2" t="n"/>
      <c r="M75" s="2" t="n"/>
    </row>
    <row r="77" ht="23.25" customHeight="1" s="462"/>
  </sheetData>
  <mergeCells count="55">
    <mergeCell ref="K36:K37"/>
    <mergeCell ref="Q25:R25"/>
    <mergeCell ref="D56:J56"/>
    <mergeCell ref="Q3:R3"/>
    <mergeCell ref="Q21:R21"/>
    <mergeCell ref="K33:K34"/>
    <mergeCell ref="D58:J58"/>
    <mergeCell ref="E33:F33"/>
    <mergeCell ref="Q28:R28"/>
    <mergeCell ref="G71:H71"/>
    <mergeCell ref="Q24:R24"/>
    <mergeCell ref="G67:H67"/>
    <mergeCell ref="D55:J55"/>
    <mergeCell ref="E48:F48"/>
    <mergeCell ref="G70:H70"/>
    <mergeCell ref="E39:F39"/>
    <mergeCell ref="H33:J34"/>
    <mergeCell ref="D51:J51"/>
    <mergeCell ref="E44:F44"/>
    <mergeCell ref="E35:F35"/>
    <mergeCell ref="B2:C2"/>
    <mergeCell ref="E38:F38"/>
    <mergeCell ref="D54:J54"/>
    <mergeCell ref="G62:J63"/>
    <mergeCell ref="D66:D67"/>
    <mergeCell ref="D59:J59"/>
    <mergeCell ref="Q5:R5"/>
    <mergeCell ref="Q20:R20"/>
    <mergeCell ref="Q23:R23"/>
    <mergeCell ref="G66:H66"/>
    <mergeCell ref="K31:K32"/>
    <mergeCell ref="G69:H69"/>
    <mergeCell ref="E31:F31"/>
    <mergeCell ref="Q4:R4"/>
    <mergeCell ref="D62:D63"/>
    <mergeCell ref="E34:F34"/>
    <mergeCell ref="F62:F63"/>
    <mergeCell ref="H31:J32"/>
    <mergeCell ref="G68:H68"/>
    <mergeCell ref="D52:J52"/>
    <mergeCell ref="E45:F45"/>
    <mergeCell ref="D64:D65"/>
    <mergeCell ref="Q22:R22"/>
    <mergeCell ref="E36:F36"/>
    <mergeCell ref="D57:J57"/>
    <mergeCell ref="G65:H65"/>
    <mergeCell ref="H36:J37"/>
    <mergeCell ref="C62:C63"/>
    <mergeCell ref="G73:H73"/>
    <mergeCell ref="E32:F32"/>
    <mergeCell ref="D53:J53"/>
    <mergeCell ref="E37:F37"/>
    <mergeCell ref="C64:C65"/>
    <mergeCell ref="E47:F47"/>
    <mergeCell ref="G72:H72"/>
  </mergeCells>
  <conditionalFormatting sqref="L3:L28">
    <cfRule type="cellIs" priority="3" operator="greaterThan" dxfId="0">
      <formula>30</formula>
    </cfRule>
  </conditionalFormatting>
  <conditionalFormatting sqref="K33:K3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36">
    <cfRule type="containsText" priority="6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52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R90"/>
  <sheetViews>
    <sheetView topLeftCell="A22" zoomScaleNormal="100" workbookViewId="0">
      <selection activeCell="H38" sqref="H38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22.625" bestFit="1" customWidth="1" style="2" min="3" max="3"/>
    <col width="20.75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outlineLevel="1" width="20.25" customWidth="1" style="77" min="11" max="11"/>
    <col width="8.75" customWidth="1" style="449" min="12" max="13"/>
    <col width="8.75" customWidth="1" style="2" min="14" max="16384"/>
  </cols>
  <sheetData>
    <row r="1"/>
    <row r="2" ht="15" customHeight="1" s="462" thickBot="1">
      <c r="B2" s="493" t="n">
        <v>46199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48" customHeight="1" s="462">
      <c r="A5" s="423">
        <f>IF(B5="","",COUNTA($B$5:B5))</f>
        <v/>
      </c>
      <c r="B5" s="420" t="n"/>
      <c r="C5" s="62" t="n"/>
      <c r="D5" s="63" t="n"/>
      <c r="E5" s="301" t="n"/>
      <c r="F5" s="420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4" customHeight="1" s="462">
      <c r="A6" s="423">
        <f>IF(B6="","",COUNTA($B$5:B6))</f>
        <v/>
      </c>
      <c r="B6" s="57" t="n"/>
      <c r="C6" s="64" t="n"/>
      <c r="D6" s="63" t="n"/>
      <c r="E6" s="259" t="n"/>
      <c r="F6" s="57" t="n"/>
      <c r="G6" s="59" t="n"/>
      <c r="H6" s="438" t="n"/>
      <c r="I6" s="295">
        <f>IFERROR(_xlfn.XLOOKUP(H6,案件・ドライバー一覧!$L$3:$L$17,案件・ドライバー一覧!$M$3:$M$17,""),"")</f>
        <v/>
      </c>
      <c r="J6" s="57" t="n"/>
      <c r="K6" s="72" t="n"/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441" t="n"/>
      <c r="D7" s="63" t="n"/>
      <c r="E7" s="441" t="n"/>
      <c r="F7" s="57" t="n"/>
      <c r="G7" s="209" t="n"/>
      <c r="H7" s="438" t="n"/>
      <c r="I7" s="295">
        <f>IFERROR(_xlfn.XLOOKUP(H7,案件・ドライバー一覧!$L$3:$L$17,案件・ドライバー一覧!$M$3:$M$17,""),"")</f>
        <v/>
      </c>
      <c r="J7" s="57" t="n"/>
      <c r="K7" s="73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</row>
    <row r="8" ht="27" customHeight="1" s="462">
      <c r="A8" s="423">
        <f>IF(B8="","",COUNTA($B$5:B8))</f>
        <v/>
      </c>
      <c r="B8" s="57" t="n"/>
      <c r="C8" s="64" t="n"/>
      <c r="D8" s="63" t="n"/>
      <c r="E8" s="441" t="n"/>
      <c r="F8" s="57" t="n"/>
      <c r="G8" s="59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4" t="n"/>
      <c r="D9" s="441" t="n"/>
      <c r="E9" s="441" t="n"/>
      <c r="F9" s="57" t="n"/>
      <c r="G9" s="59" t="n"/>
      <c r="H9" s="438" t="n"/>
      <c r="I9" s="295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438" t="n"/>
      <c r="I10" s="296">
        <f>IFERROR(_xlfn.XLOOKUP(H10,案件・ドライバー一覧!$L$3:$L$17,案件・ドライバー一覧!$M$3:$M$17,""),"")</f>
        <v/>
      </c>
      <c r="J10" s="420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247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16.5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295">
        <f>IFERROR(_xlfn.XLOOKUP(H16,案件・ドライバー一覧!$L$3:$L$17,案件・ドライバー一覧!$M$3:$M$17,""),"")</f>
        <v/>
      </c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438" t="n"/>
      <c r="I18" s="427" t="n"/>
      <c r="J18" s="57" t="n"/>
      <c r="K18" s="72" t="n"/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438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27" customHeight="1" s="462">
      <c r="A20" s="423">
        <f>IF(B20="","",COUNTA($B$5:B20))</f>
        <v/>
      </c>
      <c r="B20" s="57" t="n"/>
      <c r="C20" s="63" t="n"/>
      <c r="D20" s="441" t="n"/>
      <c r="E20" s="441" t="n"/>
      <c r="F20" s="57" t="n"/>
      <c r="G20" s="65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441" t="n"/>
      <c r="D21" s="441" t="n"/>
      <c r="E21" s="441" t="n"/>
      <c r="F21" s="57" t="n"/>
      <c r="G21" s="65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  <c r="R21" s="449" t="n"/>
    </row>
    <row r="22" ht="28.5" customHeight="1" s="462">
      <c r="A22" s="423">
        <f>IF(B22="","",COUNTA($B$5:B22))</f>
        <v/>
      </c>
      <c r="B22" s="57" t="n"/>
      <c r="C22" s="64" t="n"/>
      <c r="D22" s="441" t="n"/>
      <c r="E22" s="63" t="n"/>
      <c r="F22" s="441" t="n"/>
      <c r="G22" s="59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  <c r="R25" s="449" t="n"/>
    </row>
    <row r="26" ht="27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15.75" customHeight="1" s="462">
      <c r="A28" s="423">
        <f>IF(B28="","",COUNTA($B$5:B28))</f>
        <v/>
      </c>
      <c r="B28" s="57" t="n"/>
      <c r="C28" s="63" t="n"/>
      <c r="D28" s="441" t="n"/>
      <c r="E28" s="441" t="n"/>
      <c r="F28" s="57" t="n"/>
      <c r="G28" s="65" t="n"/>
      <c r="H28" s="438" t="n"/>
      <c r="I28" s="427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  <c r="R28" s="449" t="n"/>
    </row>
    <row r="29" ht="27" customHeight="1" s="462">
      <c r="A29" s="423">
        <f>IF(B29="","",COUNTA($B$5:B29))</f>
        <v/>
      </c>
      <c r="B29" s="57" t="n"/>
      <c r="C29" s="63" t="n"/>
      <c r="D29" s="441" t="n"/>
      <c r="E29" s="441" t="n"/>
      <c r="F29" s="57" t="n"/>
      <c r="G29" s="65" t="n"/>
      <c r="H29" s="438" t="n"/>
      <c r="I29" s="427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N29" s="449" t="n"/>
      <c r="O29" s="449" t="n"/>
      <c r="P29" s="449" t="n"/>
      <c r="Q29" s="449" t="n"/>
      <c r="R29" s="449" t="n"/>
    </row>
    <row r="30" ht="27" customHeight="1" s="462">
      <c r="A30" s="423">
        <f>IF(B30="","",COUNTA($B$5:B30))</f>
        <v/>
      </c>
      <c r="B30" s="57" t="n"/>
      <c r="C30" s="63" t="n"/>
      <c r="D30" s="441" t="n"/>
      <c r="E30" s="441" t="n"/>
      <c r="F30" s="57" t="n"/>
      <c r="G30" s="65" t="n"/>
      <c r="H30" s="438" t="n"/>
      <c r="I30" s="427" t="n"/>
      <c r="J30" s="57" t="n"/>
      <c r="K30" s="72" t="n"/>
      <c r="L30" s="61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IF(B31="","",COUNTA($B$5:B31))</f>
        <v/>
      </c>
      <c r="B31" s="57" t="n"/>
      <c r="C31" s="62" t="n"/>
      <c r="D31" s="63" t="n"/>
      <c r="E31" s="441" t="n"/>
      <c r="F31" s="57" t="n"/>
      <c r="G31" s="66" t="n"/>
      <c r="H31" s="438" t="n"/>
      <c r="I31" s="427" t="n"/>
      <c r="J31" s="57" t="n"/>
      <c r="K31" s="73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N31" s="449" t="n"/>
      <c r="O31" s="449" t="n"/>
      <c r="P31" s="449" t="n"/>
      <c r="Q31" s="449" t="n"/>
    </row>
    <row r="32" ht="27" customHeight="1" s="462">
      <c r="A32" s="423">
        <f>IF(B32="","",COUNTA($B$5:B32))</f>
        <v/>
      </c>
      <c r="B32" s="57" t="n"/>
      <c r="C32" s="63" t="n"/>
      <c r="D32" s="64" t="n"/>
      <c r="E32" s="420" t="n"/>
      <c r="F32" s="57" t="n"/>
      <c r="G32" s="66" t="n"/>
      <c r="H32" s="438" t="n"/>
      <c r="I32" s="438" t="n"/>
      <c r="J32" s="420" t="n"/>
      <c r="K32" s="73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N32" s="449" t="n"/>
      <c r="O32" s="449" t="n"/>
      <c r="P32" s="449" t="n"/>
      <c r="Q32" s="449" t="n"/>
    </row>
    <row r="33" ht="27" customHeight="1" s="462">
      <c r="A33" s="423">
        <f>IF(B33="","",COUNTA($B$5:B33))</f>
        <v/>
      </c>
      <c r="B33" s="57" t="n"/>
      <c r="C33" s="63" t="n"/>
      <c r="D33" s="64" t="n"/>
      <c r="E33" s="57" t="n"/>
      <c r="F33" s="57" t="n"/>
      <c r="G33" s="66" t="n"/>
      <c r="H33" s="438" t="n"/>
      <c r="I33" s="427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N33" s="449" t="n"/>
      <c r="O33" s="449" t="n"/>
      <c r="P33" s="449" t="n"/>
      <c r="Q33" s="449" t="n"/>
      <c r="R33" s="449" t="n"/>
    </row>
    <row r="34" ht="27" customHeight="1" s="462">
      <c r="A34" s="423">
        <f>IF(B34="","",COUNTA($B$5:B34))</f>
        <v/>
      </c>
      <c r="B34" s="57" t="n"/>
      <c r="C34" s="420" t="n"/>
      <c r="D34" s="63" t="n"/>
      <c r="E34" s="441" t="n"/>
      <c r="F34" s="57" t="n"/>
      <c r="G34" s="65" t="n"/>
      <c r="H34" s="438" t="n"/>
      <c r="I34" s="427" t="n"/>
      <c r="J34" s="57" t="n"/>
      <c r="K34" s="72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N34" s="449" t="n"/>
      <c r="O34" s="449" t="n"/>
      <c r="P34" s="449" t="n"/>
      <c r="Q34" s="449" t="n"/>
    </row>
    <row r="35" ht="27" customHeight="1" s="462">
      <c r="A35" s="423">
        <f>IF(B35="","",COUNTA($B$5:B35))</f>
        <v/>
      </c>
      <c r="B35" s="57" t="n"/>
      <c r="C35" s="57" t="n"/>
      <c r="D35" s="441" t="n"/>
      <c r="E35" s="441" t="n"/>
      <c r="F35" s="57" t="n"/>
      <c r="G35" s="66" t="n"/>
      <c r="H35" s="438" t="n"/>
      <c r="I35" s="427" t="n"/>
      <c r="J35" s="57" t="n"/>
      <c r="K35" s="7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N35" s="449" t="n"/>
      <c r="O35" s="449" t="n"/>
      <c r="P35" s="449" t="n"/>
      <c r="Q35" s="449" t="n"/>
    </row>
    <row r="36" ht="27.75" customHeight="1" s="462">
      <c r="A36" s="423">
        <f>IF(B36="","",COUNTA($B$5:B36))</f>
        <v/>
      </c>
      <c r="B36" s="441" t="n"/>
      <c r="C36" s="440" t="n"/>
      <c r="D36" s="441" t="n"/>
      <c r="E36" s="440" t="n"/>
      <c r="F36" s="57" t="n"/>
      <c r="G36" s="65" t="n"/>
      <c r="H36" s="438" t="n"/>
      <c r="I36" s="438" t="n"/>
      <c r="J36" s="420" t="n"/>
      <c r="K36" s="72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N36" s="449" t="n"/>
      <c r="O36" s="449" t="n"/>
      <c r="P36" s="449" t="n"/>
      <c r="Q36" s="449" t="n"/>
    </row>
    <row r="37" ht="27" customHeight="1" s="462">
      <c r="A37" s="423">
        <f>IF(B37="","",COUNTA($B$5:B37))</f>
        <v/>
      </c>
      <c r="B37" s="441" t="n"/>
      <c r="C37" s="63" t="n"/>
      <c r="D37" s="440" t="n"/>
      <c r="E37" s="441" t="n"/>
      <c r="F37" s="57" t="n"/>
      <c r="G37" s="59" t="n"/>
      <c r="H37" s="438" t="n"/>
      <c r="I37" s="427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N37" s="449" t="n"/>
      <c r="O37" s="449" t="n"/>
      <c r="P37" s="449" t="n"/>
      <c r="Q37" s="449" t="n"/>
      <c r="R37" s="449" t="n"/>
    </row>
    <row r="38" ht="40.5" customHeight="1" s="462">
      <c r="A38" s="423">
        <f>IF(B38="","",COUNTA($B$5:B38))</f>
        <v/>
      </c>
      <c r="B38" s="441" t="n"/>
      <c r="C38" s="62" t="n"/>
      <c r="D38" s="440" t="n"/>
      <c r="E38" s="441" t="n"/>
      <c r="F38" s="57" t="n"/>
      <c r="G38" s="59" t="n"/>
      <c r="H38" s="438" t="n"/>
      <c r="I38" s="427" t="n"/>
      <c r="J38" s="57" t="n"/>
      <c r="K38" s="73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N38" s="449" t="n"/>
      <c r="O38" s="449" t="n"/>
      <c r="P38" s="449" t="n"/>
      <c r="Q38" s="449" t="n"/>
      <c r="R38" s="449" t="n"/>
    </row>
    <row r="39" ht="27" customHeight="1" s="462">
      <c r="A39" s="423">
        <f>IF(B39="","",COUNTA($B$5:B39))</f>
        <v/>
      </c>
      <c r="B39" s="441" t="n"/>
      <c r="C39" s="63" t="n"/>
      <c r="D39" s="440" t="n"/>
      <c r="E39" s="441" t="n"/>
      <c r="F39" s="57" t="n"/>
      <c r="G39" s="59" t="n"/>
      <c r="H39" s="438" t="n"/>
      <c r="I39" s="427" t="n"/>
      <c r="J39" s="57" t="n"/>
      <c r="K39" s="73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N39" s="449" t="n"/>
      <c r="O39" s="449" t="n"/>
      <c r="P39" s="449" t="n"/>
      <c r="Q39" s="449" t="n"/>
    </row>
    <row r="40" ht="11.25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74" t="n"/>
      <c r="I40" s="80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N40" s="449" t="n"/>
      <c r="O40" s="449" t="n"/>
      <c r="P40" s="449" t="n"/>
      <c r="Q40" s="449" t="n"/>
      <c r="R40" s="449" t="n"/>
    </row>
    <row r="41" ht="27" customHeight="1" s="462">
      <c r="A41" s="423">
        <f>IF(B41="","",COUNTA($B$5:B41))</f>
        <v/>
      </c>
      <c r="B41" s="420" t="n"/>
      <c r="C41" s="420" t="n"/>
      <c r="D41" s="420" t="n"/>
      <c r="E41" s="420" t="n"/>
      <c r="F41" s="420" t="n"/>
      <c r="G41" s="69" t="n"/>
      <c r="H41" s="74" t="n"/>
      <c r="I41" s="74" t="n"/>
      <c r="J41" s="420" t="n"/>
      <c r="K41" s="22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N41" s="449" t="n"/>
      <c r="O41" s="449" t="n"/>
      <c r="P41" s="449" t="n"/>
      <c r="Q41" s="449" t="n"/>
    </row>
    <row r="42" ht="27" customHeight="1" s="462">
      <c r="A42" s="423">
        <f>IF(B42="","",COUNTA($B$5:B42))</f>
        <v/>
      </c>
      <c r="B42" s="441" t="n"/>
      <c r="C42" s="63" t="n"/>
      <c r="D42" s="440" t="n"/>
      <c r="E42" s="441" t="n"/>
      <c r="F42" s="57" t="n"/>
      <c r="G42" s="59" t="n"/>
      <c r="H42" s="60" t="n"/>
      <c r="I42" s="60" t="n"/>
      <c r="J42" s="57" t="n"/>
      <c r="K42" s="73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61" t="n"/>
      <c r="N42" s="449" t="n"/>
      <c r="O42" s="449" t="n"/>
      <c r="P42" s="449" t="n"/>
      <c r="Q42" s="449" t="n"/>
      <c r="R42" s="449" t="n"/>
    </row>
    <row r="43" ht="27" customHeight="1" s="462">
      <c r="A43" s="423">
        <f>IF(B43="","",COUNTA($B$5:B43))</f>
        <v/>
      </c>
      <c r="B43" s="420" t="n"/>
      <c r="C43" s="420" t="n"/>
      <c r="D43" s="420" t="n"/>
      <c r="E43" s="420" t="n"/>
      <c r="F43" s="420" t="n"/>
      <c r="G43" s="69" t="n"/>
      <c r="H43" s="70" t="n"/>
      <c r="I43" s="70" t="n"/>
      <c r="J43" s="420" t="n"/>
      <c r="K43" s="22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61" t="n"/>
      <c r="N43" s="449" t="n"/>
      <c r="O43" s="449" t="n"/>
      <c r="P43" s="449" t="n"/>
      <c r="Q43" s="449" t="n"/>
    </row>
    <row r="44">
      <c r="B44" s="18" t="n"/>
      <c r="C44" s="18" t="n"/>
      <c r="D44" s="18" t="n"/>
      <c r="E44" s="18" t="n"/>
      <c r="F44" s="18" t="n"/>
      <c r="G44" s="19" t="n"/>
      <c r="H44" s="33" t="n"/>
      <c r="I44" s="18" t="n"/>
      <c r="J44" s="18" t="n"/>
      <c r="K44" s="18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  <c r="M44" s="2" t="n"/>
    </row>
    <row r="45" ht="14.25" customHeight="1" s="462" thickBot="1">
      <c r="K45" s="2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  <c r="M45" s="2" t="n"/>
    </row>
    <row r="46">
      <c r="B46" s="22" t="n"/>
      <c r="C46" s="25" t="n"/>
      <c r="D46" s="25" t="inlineStr">
        <is>
          <t>現在待機場所</t>
        </is>
      </c>
      <c r="E46" s="25" t="inlineStr">
        <is>
          <t>待機予定場所</t>
        </is>
      </c>
      <c r="F46" s="466" t="n"/>
      <c r="H46" s="375" t="inlineStr">
        <is>
          <t>目標距離</t>
        </is>
      </c>
      <c r="I46" s="465" t="n"/>
      <c r="J46" s="467" t="n"/>
      <c r="K46" s="377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2" t="n"/>
      <c r="M46" s="2" t="n"/>
    </row>
    <row r="47" ht="14.25" customHeight="1" s="462" thickBot="1">
      <c r="B47" s="26" t="inlineStr">
        <is>
          <t>2(255)</t>
        </is>
      </c>
      <c r="C47" s="21" t="inlineStr">
        <is>
          <t>山岸</t>
        </is>
      </c>
      <c r="D47" s="34" t="n"/>
      <c r="E47" s="34" t="n"/>
      <c r="F47" s="466" t="n"/>
      <c r="H47" s="468" t="n"/>
      <c r="I47" s="477" t="n"/>
      <c r="J47" s="469" t="n"/>
      <c r="K47" s="470" t="n"/>
      <c r="L47" s="2" t="n"/>
      <c r="M47" s="2" t="n"/>
    </row>
    <row r="48">
      <c r="B48" s="26" t="inlineStr">
        <is>
          <t>8(254)</t>
        </is>
      </c>
      <c r="C48" s="21" t="inlineStr">
        <is>
          <t>砂川</t>
        </is>
      </c>
      <c r="D48" s="35" t="n"/>
      <c r="E48" s="35" t="n"/>
      <c r="F48" s="466" t="n"/>
      <c r="H48" s="368" t="inlineStr">
        <is>
          <t>残距離</t>
        </is>
      </c>
      <c r="J48" s="471" t="n"/>
      <c r="K48" s="354">
        <f t="array" ref="K48">IF(OR(H48="",L48=""),"",IFERROR(_xlfn.LET(_xlpm.vt,VLOOKUP(IFERROR(VALUE(LEFT(H48,FIND("＊",H48&amp;"＊")-1)),H48),運賃マスター!$A$22:$B$40,2,FALSE),_xlpm.d,L48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8" s="2" t="n"/>
      <c r="M48" s="2" t="n"/>
    </row>
    <row r="49" ht="14.25" customHeight="1" s="462" thickBot="1">
      <c r="B49" s="26" t="inlineStr">
        <is>
          <t>9(256)</t>
        </is>
      </c>
      <c r="C49" s="21" t="inlineStr">
        <is>
          <t>前川</t>
        </is>
      </c>
      <c r="D49" s="35" t="n"/>
      <c r="E49" s="35" t="n"/>
      <c r="F49" s="466" t="n"/>
      <c r="H49" s="468" t="n"/>
      <c r="I49" s="477" t="n"/>
      <c r="J49" s="469" t="n"/>
      <c r="K49" s="472" t="n"/>
      <c r="L49" s="2" t="n"/>
      <c r="M49" s="2" t="n"/>
    </row>
    <row r="50" ht="14.25" customHeight="1" s="462" thickBot="1">
      <c r="B50" s="26" t="inlineStr">
        <is>
          <t>10(257)</t>
        </is>
      </c>
      <c r="C50" s="35" t="n"/>
      <c r="D50" s="35" t="n"/>
      <c r="E50" s="35" t="n"/>
      <c r="F50" s="466" t="n"/>
      <c r="K50" s="2">
        <f t="array" ref="K50">IF(OR(H50="",L50=""),"",IFERROR(_xlfn.LET(_xlpm.vt,VLOOKUP(IFERROR(VALUE(LEFT(H50,FIND("＊",H50&amp;"＊")-1)),H50),運賃マスター!$A$22:$B$40,2,FALSE),_xlpm.d,L50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0" s="2" t="n"/>
      <c r="M50" s="2" t="n"/>
    </row>
    <row r="51">
      <c r="B51" s="26" t="inlineStr">
        <is>
          <t>11(258)</t>
        </is>
      </c>
      <c r="C51" s="21" t="inlineStr">
        <is>
          <t>郡司</t>
        </is>
      </c>
      <c r="D51" s="35" t="n"/>
      <c r="E51" s="35" t="n"/>
      <c r="F51" s="466" t="n"/>
      <c r="H51" s="350" t="inlineStr">
        <is>
          <t>依頼件数</t>
        </is>
      </c>
      <c r="I51" s="465" t="n"/>
      <c r="J51" s="467" t="n"/>
      <c r="K51" s="354">
        <f>SUM(P3:P43)+SUM(SUM(#REF!))</f>
        <v/>
      </c>
      <c r="L51" s="2" t="n"/>
      <c r="M51" s="2" t="n"/>
    </row>
    <row r="52" ht="14.25" customHeight="1" s="462" thickBot="1">
      <c r="B52" s="26" t="inlineStr">
        <is>
          <t>12(736)</t>
        </is>
      </c>
      <c r="C52" s="21" t="n"/>
      <c r="D52" s="35" t="n"/>
      <c r="E52" s="35" t="n"/>
      <c r="F52" s="466" t="n"/>
      <c r="H52" s="468" t="n"/>
      <c r="I52" s="477" t="n"/>
      <c r="J52" s="469" t="n"/>
      <c r="K52" s="472" t="n"/>
      <c r="L52" s="2" t="n"/>
      <c r="M52" s="2" t="n"/>
    </row>
    <row r="53" ht="16.5" customHeight="1" s="462">
      <c r="B53" s="26" t="inlineStr">
        <is>
          <t>13(737)</t>
        </is>
      </c>
      <c r="C53" s="21" t="n"/>
      <c r="D53" s="35" t="n"/>
      <c r="E53" s="35" t="n"/>
      <c r="F53" s="466" t="n"/>
      <c r="H53" s="38" t="n"/>
      <c r="I53" s="38" t="n"/>
      <c r="J53" s="38" t="n"/>
      <c r="K53" s="39" t="n"/>
      <c r="L53" s="2" t="n"/>
      <c r="M53" s="2" t="n"/>
    </row>
    <row r="54" ht="16.5" customHeight="1" s="462">
      <c r="B54" s="40" t="inlineStr">
        <is>
          <t>14(738)</t>
        </is>
      </c>
      <c r="C54" s="21" t="inlineStr">
        <is>
          <t>辻井</t>
        </is>
      </c>
      <c r="D54" s="35" t="n"/>
      <c r="E54" s="35" t="n"/>
      <c r="F54" s="466" t="n"/>
      <c r="H54" s="38" t="n"/>
      <c r="I54" s="38" t="n"/>
      <c r="J54" s="38" t="n"/>
      <c r="K54" s="39" t="n"/>
      <c r="L54" s="2" t="n"/>
      <c r="M54" s="2" t="n"/>
    </row>
    <row r="55" ht="8.25" customHeight="1" s="462">
      <c r="B55" s="41" t="n"/>
      <c r="C55" s="42" t="n"/>
      <c r="D55" s="43" t="n"/>
      <c r="E55" s="44" t="n"/>
      <c r="F55" s="349" t="n"/>
      <c r="H55" s="38" t="n"/>
      <c r="I55" s="38" t="n"/>
      <c r="J55" s="38" t="n"/>
      <c r="K55" s="39" t="n"/>
      <c r="L55" s="2" t="n"/>
      <c r="M55" s="2" t="n"/>
    </row>
    <row r="56" ht="17.25" customHeight="1" s="462">
      <c r="B56" s="45" t="n">
        <v>7290</v>
      </c>
      <c r="C56" s="21" t="inlineStr">
        <is>
          <t>佐藤</t>
        </is>
      </c>
      <c r="D56" s="35" t="n"/>
      <c r="E56" s="348" t="n"/>
      <c r="F56" s="349" t="n"/>
      <c r="H56" s="38" t="n"/>
      <c r="I56" s="38" t="n"/>
      <c r="J56" s="38" t="n"/>
      <c r="K56" s="39" t="n"/>
      <c r="L56" s="2" t="n"/>
      <c r="M56" s="2" t="n"/>
    </row>
    <row r="57" ht="17.25" customHeight="1" s="462">
      <c r="B57" s="45" t="n">
        <v>7291</v>
      </c>
      <c r="C57" s="21" t="inlineStr">
        <is>
          <t>末次</t>
        </is>
      </c>
      <c r="D57" s="35" t="n"/>
      <c r="E57" s="348" t="n"/>
      <c r="F57" s="349" t="n"/>
      <c r="H57" s="38" t="n"/>
      <c r="I57" s="38" t="n"/>
      <c r="J57" s="38" t="n"/>
      <c r="K57" s="39" t="n"/>
      <c r="L57" s="2" t="n"/>
      <c r="M57" s="2" t="n"/>
    </row>
    <row r="58" ht="9" customHeight="1" s="462">
      <c r="B58" s="41" t="n"/>
      <c r="C58" s="42" t="n"/>
      <c r="D58" s="44" t="n"/>
      <c r="E58" s="44" t="n"/>
      <c r="F58" s="349" t="n"/>
      <c r="H58" s="38" t="n"/>
      <c r="I58" s="38" t="n"/>
      <c r="J58" s="38" t="n"/>
      <c r="K58" s="39" t="n"/>
      <c r="L58" s="2" t="n"/>
      <c r="M58" s="2" t="n"/>
    </row>
    <row r="59" ht="16.5" customHeight="1" s="462">
      <c r="B59" s="45" t="n">
        <v>333</v>
      </c>
      <c r="C59" s="21" t="inlineStr">
        <is>
          <t>金井/奥田</t>
        </is>
      </c>
      <c r="D59" s="35" t="n"/>
      <c r="E59" s="484" t="n"/>
      <c r="F59" s="469" t="n"/>
      <c r="H59" s="38" t="n"/>
      <c r="I59" s="38" t="n"/>
      <c r="J59" s="38" t="n"/>
      <c r="K59" s="39" t="n"/>
      <c r="L59" s="2" t="n"/>
      <c r="M59" s="2" t="n"/>
    </row>
    <row r="60" ht="16.5" customHeight="1" s="462">
      <c r="B60" s="46" t="n">
        <v>666</v>
      </c>
      <c r="C60" s="21" t="inlineStr">
        <is>
          <t>徳留</t>
        </is>
      </c>
      <c r="D60" s="35" t="n"/>
      <c r="E60" s="35" t="n"/>
      <c r="F60" s="466" t="n"/>
      <c r="H60" s="38" t="n"/>
      <c r="I60" s="38" t="n"/>
      <c r="J60" s="38" t="n"/>
      <c r="K60" s="39" t="n"/>
      <c r="L60" s="2" t="n"/>
      <c r="M60" s="2" t="n"/>
    </row>
    <row r="61" ht="16.5" customHeight="1" s="462">
      <c r="B61" s="46" t="n">
        <v>777</v>
      </c>
      <c r="C61" s="21" t="n"/>
      <c r="D61" s="35" t="n"/>
      <c r="E61" s="348" t="n"/>
      <c r="F61" s="349" t="n"/>
      <c r="H61" s="38" t="n"/>
      <c r="I61" s="38" t="n"/>
      <c r="J61" s="38" t="n"/>
      <c r="K61" s="39" t="n"/>
      <c r="L61" s="2" t="n"/>
      <c r="M61" s="2" t="n"/>
    </row>
    <row r="62" ht="16.5" customHeight="1" s="462">
      <c r="B62" s="47" t="n">
        <v>330</v>
      </c>
      <c r="C62" s="21" t="n"/>
      <c r="D62" s="35" t="n"/>
      <c r="E62" s="35" t="n"/>
      <c r="F62" s="466" t="n"/>
      <c r="H62" s="38" t="n"/>
      <c r="I62" s="38" t="n"/>
      <c r="J62" s="38" t="n"/>
      <c r="K62" s="39" t="n"/>
      <c r="L62" s="2" t="n"/>
      <c r="M62" s="2" t="n"/>
    </row>
    <row r="63" ht="16.5" customHeight="1" s="462">
      <c r="B63" s="47" t="n">
        <v>990</v>
      </c>
      <c r="C63" s="21" t="inlineStr">
        <is>
          <t>山原</t>
        </is>
      </c>
      <c r="D63" s="35" t="n"/>
      <c r="E63" s="35" t="n"/>
      <c r="F63" s="466" t="n"/>
      <c r="H63" s="38" t="n"/>
      <c r="I63" s="38" t="n"/>
      <c r="J63" s="38" t="n"/>
      <c r="K63" s="39" t="n"/>
      <c r="L63" s="2" t="n"/>
      <c r="M63" s="2" t="n"/>
    </row>
    <row r="64">
      <c r="K64" s="2" t="n"/>
      <c r="L64" s="2" t="n"/>
      <c r="M64" s="2" t="n"/>
    </row>
    <row r="65">
      <c r="C65" s="449" t="inlineStr">
        <is>
          <t>出発→到着</t>
        </is>
      </c>
      <c r="D65" s="420" t="inlineStr">
        <is>
          <t>備考</t>
        </is>
      </c>
      <c r="K65" s="2" t="n"/>
      <c r="L65" s="2" t="n"/>
      <c r="M65" s="2" t="n"/>
    </row>
    <row r="66">
      <c r="B66" s="27" t="inlineStr">
        <is>
          <t>①</t>
        </is>
      </c>
      <c r="C66" s="449" t="inlineStr">
        <is>
          <t>東→西</t>
        </is>
      </c>
      <c r="D66" s="485" t="inlineStr">
        <is>
          <t>①Aチーム優先</t>
        </is>
      </c>
      <c r="E66" s="486" t="n"/>
      <c r="F66" s="486" t="n"/>
      <c r="G66" s="486" t="n"/>
      <c r="H66" s="486" t="n"/>
      <c r="I66" s="486" t="n"/>
      <c r="J66" s="466" t="n"/>
      <c r="K66" s="2" t="n"/>
      <c r="L66" s="2" t="n"/>
      <c r="M66" s="2" t="n"/>
    </row>
    <row r="67">
      <c r="B67" s="27" t="inlineStr">
        <is>
          <t>②</t>
        </is>
      </c>
      <c r="C67" s="449" t="inlineStr">
        <is>
          <t>東→東</t>
        </is>
      </c>
      <c r="D67" s="485" t="inlineStr">
        <is>
          <t>②急ぎ案件の場合、道路状況も伝えてあげる。</t>
        </is>
      </c>
      <c r="E67" s="486" t="n"/>
      <c r="F67" s="486" t="n"/>
      <c r="G67" s="486" t="n"/>
      <c r="H67" s="486" t="n"/>
      <c r="I67" s="486" t="n"/>
      <c r="J67" s="466" t="n"/>
      <c r="K67" s="2" t="n"/>
      <c r="L67" s="2" t="n"/>
      <c r="M67" s="2" t="n"/>
    </row>
    <row r="68">
      <c r="B68" s="27" t="inlineStr">
        <is>
          <t>③</t>
        </is>
      </c>
      <c r="C68" s="449" t="inlineStr">
        <is>
          <t>西→東</t>
        </is>
      </c>
      <c r="D68" s="485" t="inlineStr">
        <is>
          <t>③各ドライバーの位置からの帰社のタイミング・夕方の配置</t>
        </is>
      </c>
      <c r="E68" s="486" t="n"/>
      <c r="F68" s="486" t="n"/>
      <c r="G68" s="486" t="n"/>
      <c r="H68" s="486" t="n"/>
      <c r="I68" s="486" t="n"/>
      <c r="J68" s="466" t="n"/>
      <c r="K68" s="2" t="n"/>
      <c r="L68" s="2" t="n"/>
      <c r="M68" s="2" t="n"/>
    </row>
    <row r="69">
      <c r="B69" s="27" t="inlineStr">
        <is>
          <t>④</t>
        </is>
      </c>
      <c r="C69" s="449" t="inlineStr">
        <is>
          <t>西→西</t>
        </is>
      </c>
      <c r="D69" s="485" t="inlineStr">
        <is>
          <t>④依頼を受ける際の、希望時間と現状の位置。行けるか行けないかの判断をしっかりと。</t>
        </is>
      </c>
      <c r="E69" s="486" t="n"/>
      <c r="F69" s="486" t="n"/>
      <c r="G69" s="486" t="n"/>
      <c r="H69" s="486" t="n"/>
      <c r="I69" s="486" t="n"/>
      <c r="J69" s="466" t="n"/>
      <c r="K69" s="2" t="n"/>
      <c r="L69" s="2" t="n"/>
      <c r="M69" s="2" t="n"/>
    </row>
    <row r="70">
      <c r="D70" s="485" t="inlineStr">
        <is>
          <t>⑤軽に乗るか乗らないかの判断に気を付ける。</t>
        </is>
      </c>
      <c r="E70" s="486" t="n"/>
      <c r="F70" s="486" t="n"/>
      <c r="G70" s="486" t="n"/>
      <c r="H70" s="486" t="n"/>
      <c r="I70" s="486" t="n"/>
      <c r="J70" s="466" t="n"/>
      <c r="K70" s="2" t="n"/>
      <c r="L70" s="2" t="n"/>
      <c r="M70" s="2" t="n"/>
    </row>
    <row r="71">
      <c r="B71" s="22" t="n"/>
      <c r="C71" s="420" t="inlineStr">
        <is>
          <t>現状配置(予測)</t>
        </is>
      </c>
      <c r="D71" s="485" t="inlineStr">
        <is>
          <t>⑥18/1日、1.8/1人、3件/1人</t>
        </is>
      </c>
      <c r="E71" s="486" t="n"/>
      <c r="F71" s="486" t="n"/>
      <c r="G71" s="486" t="n"/>
      <c r="H71" s="486" t="n"/>
      <c r="I71" s="486" t="n"/>
      <c r="J71" s="466" t="n"/>
      <c r="K71" s="2" t="n"/>
      <c r="L71" s="2" t="n"/>
      <c r="M71" s="2" t="n"/>
    </row>
    <row r="72">
      <c r="B72" s="420" t="inlineStr">
        <is>
          <t>西(神戸西・弥栄台)</t>
        </is>
      </c>
      <c r="C72" s="420" t="n"/>
      <c r="D72" s="485" t="inlineStr">
        <is>
          <t>⑦依頼書の見落とし(日付、入替、入出庫、場所）</t>
        </is>
      </c>
      <c r="E72" s="486" t="n"/>
      <c r="F72" s="486" t="n"/>
      <c r="G72" s="486" t="n"/>
      <c r="H72" s="486" t="n"/>
      <c r="I72" s="486" t="n"/>
      <c r="J72" s="466" t="n"/>
      <c r="K72" s="2" t="n"/>
      <c r="L72" s="2" t="n"/>
      <c r="M72" s="2" t="n"/>
    </row>
    <row r="73">
      <c r="B73" s="420" t="inlineStr">
        <is>
          <t>真ん中(摩耶・中央)</t>
        </is>
      </c>
      <c r="C73" s="420" t="n"/>
      <c r="D73" s="485" t="inlineStr">
        <is>
          <t>⑧3ｔ車と2ｔ車への振り方(西と東に振り分ける)</t>
        </is>
      </c>
      <c r="E73" s="486" t="n"/>
      <c r="F73" s="486" t="n"/>
      <c r="G73" s="486" t="n"/>
      <c r="H73" s="486" t="n"/>
      <c r="I73" s="486" t="n"/>
      <c r="J73" s="466" t="n"/>
      <c r="K73" s="2" t="n"/>
      <c r="L73" s="2" t="n"/>
      <c r="M73" s="2" t="n"/>
    </row>
    <row r="74">
      <c r="B74" s="420" t="inlineStr">
        <is>
          <t>東(尼崎・伊丹・西宮)</t>
        </is>
      </c>
      <c r="C74" s="420" t="n"/>
      <c r="D74" s="485" t="inlineStr">
        <is>
          <t>⑨</t>
        </is>
      </c>
      <c r="E74" s="486" t="n"/>
      <c r="F74" s="486" t="n"/>
      <c r="G74" s="486" t="n"/>
      <c r="H74" s="486" t="n"/>
      <c r="I74" s="486" t="n"/>
      <c r="J74" s="466" t="n"/>
      <c r="K74" s="2" t="n"/>
      <c r="L74" s="2" t="n"/>
      <c r="M74" s="2" t="n"/>
    </row>
    <row r="75">
      <c r="B75" s="48" t="inlineStr">
        <is>
          <t>極東(港区・淀屋橋)</t>
        </is>
      </c>
      <c r="C75" s="420" t="n"/>
      <c r="D75" s="49" t="n"/>
      <c r="E75" s="49" t="n"/>
      <c r="F75" s="49" t="n"/>
      <c r="G75" s="49" t="n"/>
      <c r="H75" s="49" t="n"/>
      <c r="I75" s="49" t="n"/>
      <c r="J75" s="49" t="n"/>
      <c r="K75" s="2" t="n"/>
      <c r="L75" s="2" t="n"/>
      <c r="M75" s="2" t="n"/>
    </row>
    <row r="76" ht="14.25" customHeight="1" s="462" thickBot="1">
      <c r="K76" s="2" t="n"/>
      <c r="L76" s="2" t="n"/>
      <c r="M76" s="2" t="n"/>
    </row>
    <row r="77">
      <c r="C77" s="473" t="inlineStr">
        <is>
          <t>合計額/380</t>
        </is>
      </c>
      <c r="D77" s="358">
        <f>SUM(G77)</f>
        <v/>
      </c>
      <c r="F77" s="360" t="inlineStr">
        <is>
          <t>売り上げ額</t>
        </is>
      </c>
      <c r="G77" s="362">
        <f>SUM(SUM(K4:K43))+SUM(#REF!)</f>
        <v/>
      </c>
      <c r="H77" s="465" t="n"/>
      <c r="I77" s="465" t="n"/>
      <c r="J77" s="467" t="n"/>
      <c r="K77" s="2" t="n"/>
      <c r="L77" s="2" t="n"/>
      <c r="M77" s="2" t="n"/>
    </row>
    <row r="78" ht="14.25" customHeight="1" s="462" thickBot="1">
      <c r="C78" s="474" t="n"/>
      <c r="D78" s="475" t="n"/>
      <c r="F78" s="468" t="n"/>
      <c r="G78" s="476" t="n"/>
      <c r="H78" s="477" t="n"/>
      <c r="I78" s="477" t="n"/>
      <c r="J78" s="469" t="n"/>
      <c r="K78" s="2" t="n"/>
      <c r="L78" s="2" t="n"/>
      <c r="M78" s="2" t="n"/>
    </row>
    <row r="79">
      <c r="C79" s="478" t="inlineStr">
        <is>
          <t>前日までの売上合計額</t>
        </is>
      </c>
      <c r="D79" s="479">
        <f>SUM(B88)</f>
        <v/>
      </c>
      <c r="K79" s="2" t="n"/>
      <c r="L79" s="2" t="n"/>
      <c r="M79" s="2" t="n"/>
    </row>
    <row r="80" ht="14.25" customHeight="1" s="462" thickBot="1">
      <c r="C80" s="480" t="n"/>
      <c r="D80" s="480" t="n"/>
      <c r="F80" s="420" t="inlineStr">
        <is>
          <t>金井（55)</t>
        </is>
      </c>
      <c r="G80" s="345" t="n"/>
      <c r="H80" s="466" t="n"/>
      <c r="I80" s="130" t="n"/>
      <c r="K80" s="2" t="n"/>
      <c r="L80" s="2" t="n"/>
      <c r="M80" s="2" t="n"/>
    </row>
    <row r="81" ht="14.25" customHeight="1" s="462" thickTop="1">
      <c r="D81" s="346">
        <f>D77+D79</f>
        <v/>
      </c>
      <c r="F81" s="420" t="inlineStr">
        <is>
          <t>粟津(55)</t>
        </is>
      </c>
      <c r="G81" s="340" t="n"/>
      <c r="H81" s="466" t="n"/>
      <c r="I81" s="131" t="n"/>
      <c r="K81" s="2" t="n"/>
      <c r="L81" s="2" t="n"/>
      <c r="M81" s="2" t="n"/>
    </row>
    <row r="82">
      <c r="F82" s="420" t="inlineStr">
        <is>
          <t>砂川(50)</t>
        </is>
      </c>
      <c r="G82" s="340" t="n"/>
      <c r="H82" s="466" t="n"/>
      <c r="I82" s="131" t="n"/>
      <c r="K82" s="2" t="n"/>
      <c r="L82" s="2" t="n"/>
      <c r="M82" s="2" t="n"/>
    </row>
    <row r="83">
      <c r="C83" s="2" t="inlineStr">
        <is>
          <t>高代</t>
        </is>
      </c>
      <c r="F83" s="420" t="inlineStr">
        <is>
          <t>前川(50)</t>
        </is>
      </c>
      <c r="G83" s="340" t="n"/>
      <c r="H83" s="466" t="n"/>
      <c r="I83" s="131" t="n"/>
      <c r="K83" s="2" t="n"/>
      <c r="L83" s="2" t="n"/>
      <c r="M83" s="2" t="n"/>
    </row>
    <row r="84">
      <c r="C84" s="2" t="inlineStr">
        <is>
          <t>返還代</t>
        </is>
      </c>
      <c r="F84" s="420" t="inlineStr">
        <is>
          <t>佐藤(50)</t>
        </is>
      </c>
      <c r="G84" s="345" t="n"/>
      <c r="H84" s="466" t="n"/>
      <c r="I84" s="130" t="n"/>
      <c r="K84" s="2" t="n"/>
      <c r="L84" s="2" t="n"/>
      <c r="M84" s="2" t="n"/>
    </row>
    <row r="85">
      <c r="C85" s="2" t="inlineStr">
        <is>
          <t>回収率</t>
        </is>
      </c>
      <c r="D85" s="50">
        <f>D84/D83</f>
        <v/>
      </c>
      <c r="F85" s="420" t="inlineStr">
        <is>
          <t>末次(55)</t>
        </is>
      </c>
      <c r="G85" s="340" t="n"/>
      <c r="H85" s="466" t="n"/>
      <c r="I85" s="131" t="n"/>
      <c r="K85" s="2" t="n"/>
      <c r="L85" s="2" t="n"/>
      <c r="M85" s="2" t="n"/>
    </row>
    <row r="86">
      <c r="C86" s="2" t="inlineStr">
        <is>
          <t>費</t>
        </is>
      </c>
      <c r="D86" s="2">
        <f>D83-D84</f>
        <v/>
      </c>
      <c r="F86" s="420" t="inlineStr">
        <is>
          <t>筒井(75)</t>
        </is>
      </c>
      <c r="G86" s="340" t="n"/>
      <c r="H86" s="466" t="n"/>
      <c r="I86" s="131" t="n"/>
      <c r="K86" s="2" t="n"/>
      <c r="L86" s="2" t="n"/>
      <c r="M86" s="2" t="n"/>
    </row>
    <row r="87">
      <c r="F87" s="420" t="inlineStr">
        <is>
          <t>山岸(40)</t>
        </is>
      </c>
      <c r="G87" s="340" t="n"/>
      <c r="H87" s="466" t="n"/>
      <c r="I87" s="131" t="n"/>
      <c r="K87" s="2" t="n"/>
      <c r="L87" s="2" t="n"/>
      <c r="M87" s="2" t="n"/>
    </row>
    <row r="88" ht="23.25" customHeight="1" s="462">
      <c r="B88" s="71" t="n"/>
      <c r="F88" s="420" t="inlineStr">
        <is>
          <t>多苗(30)</t>
        </is>
      </c>
      <c r="G88" s="340" t="n"/>
      <c r="H88" s="466" t="n"/>
      <c r="I88" s="131" t="n"/>
      <c r="K88" s="2" t="n"/>
      <c r="L88" s="2" t="inlineStr">
        <is>
          <t> </t>
        </is>
      </c>
      <c r="M88" s="2" t="n"/>
    </row>
    <row r="89">
      <c r="K89" s="2" t="n"/>
      <c r="L89" s="2" t="n"/>
      <c r="M89" s="2" t="n"/>
    </row>
    <row r="90">
      <c r="K90" s="2" t="n"/>
      <c r="L90" s="2" t="n"/>
      <c r="M90" s="2" t="n"/>
    </row>
  </sheetData>
  <mergeCells count="58">
    <mergeCell ref="D71:J71"/>
    <mergeCell ref="E50:F50"/>
    <mergeCell ref="G81:H81"/>
    <mergeCell ref="Q7:R7"/>
    <mergeCell ref="C79:C80"/>
    <mergeCell ref="Q3:R3"/>
    <mergeCell ref="Q43:R43"/>
    <mergeCell ref="E62:F62"/>
    <mergeCell ref="D74:J74"/>
    <mergeCell ref="G86:H86"/>
    <mergeCell ref="K51:K52"/>
    <mergeCell ref="D68:J68"/>
    <mergeCell ref="D73:J73"/>
    <mergeCell ref="E52:F52"/>
    <mergeCell ref="H48:J49"/>
    <mergeCell ref="D77:D78"/>
    <mergeCell ref="E48:F48"/>
    <mergeCell ref="D67:J67"/>
    <mergeCell ref="Q39:R39"/>
    <mergeCell ref="G82:H82"/>
    <mergeCell ref="E51:F51"/>
    <mergeCell ref="B2:C2"/>
    <mergeCell ref="Q5:R5"/>
    <mergeCell ref="E63:F63"/>
    <mergeCell ref="D69:J69"/>
    <mergeCell ref="K46:K47"/>
    <mergeCell ref="Q10:R10"/>
    <mergeCell ref="E60:F60"/>
    <mergeCell ref="Q35:R35"/>
    <mergeCell ref="Q4:R4"/>
    <mergeCell ref="Q31:R31"/>
    <mergeCell ref="G87:H87"/>
    <mergeCell ref="E59:F59"/>
    <mergeCell ref="G83:H83"/>
    <mergeCell ref="Q34:R34"/>
    <mergeCell ref="K48:K49"/>
    <mergeCell ref="E46:F46"/>
    <mergeCell ref="E49:F49"/>
    <mergeCell ref="G80:H80"/>
    <mergeCell ref="F77:F78"/>
    <mergeCell ref="H51:J52"/>
    <mergeCell ref="H46:J47"/>
    <mergeCell ref="Q36:R36"/>
    <mergeCell ref="G88:H88"/>
    <mergeCell ref="D79:D80"/>
    <mergeCell ref="E54:F54"/>
    <mergeCell ref="D70:J70"/>
    <mergeCell ref="D66:J66"/>
    <mergeCell ref="G85:H85"/>
    <mergeCell ref="C77:C78"/>
    <mergeCell ref="Q32:R32"/>
    <mergeCell ref="G77:J78"/>
    <mergeCell ref="E53:F53"/>
    <mergeCell ref="G84:H84"/>
    <mergeCell ref="D72:J72"/>
    <mergeCell ref="Q41:R41"/>
    <mergeCell ref="D81:D82"/>
    <mergeCell ref="E47:F47"/>
  </mergeCells>
  <conditionalFormatting sqref="K48:K49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:L43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D5:D51">
    <cfRule type="containsText" priority="7" operator="containsText" dxfId="3" text="～">
      <formula>NOT(ISERROR(SEARCH("～",D5)))</formula>
    </cfRule>
  </conditionalFormatting>
  <pageMargins left="0.7" right="0.7" top="0.75" bottom="0.75" header="0.3" footer="0.3"/>
  <pageSetup orientation="landscape" paperSize="9" scale="52"/>
</worksheet>
</file>

<file path=xl/worksheets/sheet50.xml><?xml version="1.0" encoding="utf-8"?>
<worksheet xmlns="http://schemas.openxmlformats.org/spreadsheetml/2006/main">
  <sheetPr codeName="Sheet49">
    <outlinePr summaryBelow="1" summaryRight="1"/>
    <pageSetUpPr fitToPage="1"/>
  </sheetPr>
  <dimension ref="A1:R75"/>
  <sheetViews>
    <sheetView zoomScaleNormal="100" workbookViewId="0">
      <selection activeCell="I5" sqref="I5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449" min="10" max="10"/>
    <col width="20.25" customWidth="1" style="77" min="11" max="11"/>
    <col width="8.75" customWidth="1" style="449" min="12" max="13"/>
    <col width="8.75" customWidth="1" style="2" min="14" max="16384"/>
  </cols>
  <sheetData>
    <row r="1"/>
    <row r="2" ht="15" customHeight="1" s="462" thickBot="1">
      <c r="B2" s="493" t="n">
        <v>46200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4" t="n"/>
      <c r="D13" s="441" t="n"/>
      <c r="E13" s="63" t="n"/>
      <c r="F13" s="441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2" t="n"/>
      <c r="D20" s="63" t="n"/>
      <c r="E20" s="441" t="n"/>
      <c r="F20" s="57" t="n"/>
      <c r="G20" s="66" t="n"/>
      <c r="H20" s="74" t="n"/>
      <c r="I20" s="8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57" t="n"/>
      <c r="G21" s="66" t="n"/>
      <c r="H21" s="74" t="n"/>
      <c r="I21" s="74" t="n"/>
      <c r="J21" s="420" t="n"/>
      <c r="K21" s="73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57" t="n"/>
      <c r="C22" s="420" t="n"/>
      <c r="D22" s="63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57" t="n"/>
      <c r="C23" s="57" t="n"/>
      <c r="D23" s="441" t="n"/>
      <c r="E23" s="441" t="n"/>
      <c r="F23" s="57" t="n"/>
      <c r="G23" s="66" t="n"/>
      <c r="H23" s="74" t="n"/>
      <c r="I23" s="80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441" t="n"/>
      <c r="C24" s="440" t="n"/>
      <c r="D24" s="441" t="n"/>
      <c r="E24" s="440" t="n"/>
      <c r="F24" s="57" t="n"/>
      <c r="G24" s="65" t="n"/>
      <c r="H24" s="74" t="n"/>
      <c r="I24" s="74" t="n"/>
      <c r="J24" s="420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441" t="n"/>
      <c r="C26" s="63" t="n"/>
      <c r="D26" s="440" t="n"/>
      <c r="E26" s="441" t="n"/>
      <c r="F26" s="57" t="n"/>
      <c r="G26" s="59" t="n"/>
      <c r="H26" s="60" t="n"/>
      <c r="I26" s="60" t="n"/>
      <c r="J26" s="57" t="n"/>
      <c r="K26" s="73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441" t="n"/>
      <c r="C27" s="63" t="n"/>
      <c r="D27" s="440" t="n"/>
      <c r="E27" s="441" t="n"/>
      <c r="F27" s="57" t="n"/>
      <c r="G27" s="59" t="n"/>
      <c r="H27" s="60" t="n"/>
      <c r="I27" s="60" t="n"/>
      <c r="J27" s="57" t="n"/>
      <c r="K27" s="73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27.75" customHeight="1" s="462">
      <c r="A28" s="423">
        <f>IF(B28="","",COUNTA($B$5:B28))</f>
        <v/>
      </c>
      <c r="B28" s="420" t="n"/>
      <c r="C28" s="420" t="n"/>
      <c r="D28" s="420" t="n"/>
      <c r="E28" s="420" t="n"/>
      <c r="F28" s="420" t="n"/>
      <c r="G28" s="69" t="n"/>
      <c r="H28" s="70" t="n"/>
      <c r="I28" s="70" t="n"/>
      <c r="J28" s="420" t="n"/>
      <c r="K28" s="2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</row>
    <row r="29" ht="27" customHeight="1" s="462">
      <c r="B29" s="18" t="n"/>
      <c r="C29" s="18" t="n"/>
      <c r="D29" s="18" t="n"/>
      <c r="E29" s="18" t="n"/>
      <c r="F29" s="18" t="n"/>
      <c r="G29" s="19" t="n"/>
      <c r="H29" s="33" t="n"/>
      <c r="I29" s="18" t="n"/>
      <c r="J29" s="18" t="n"/>
      <c r="K29" s="18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2" t="n"/>
      <c r="M29" s="2" t="n"/>
    </row>
    <row r="30" ht="27" customHeight="1" s="462" thickBot="1">
      <c r="J30" s="2" t="n"/>
      <c r="K30" s="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2" t="n"/>
      <c r="M30" s="2" t="n"/>
    </row>
    <row r="31" ht="27" customHeight="1" s="462">
      <c r="B31" s="22" t="n"/>
      <c r="C31" s="25" t="n"/>
      <c r="D31" s="25" t="inlineStr">
        <is>
          <t>現在待機場所</t>
        </is>
      </c>
      <c r="E31" s="25" t="inlineStr">
        <is>
          <t>待機予定場所</t>
        </is>
      </c>
      <c r="F31" s="466" t="n"/>
      <c r="H31" s="375" t="inlineStr">
        <is>
          <t>目標距離</t>
        </is>
      </c>
      <c r="I31" s="465" t="n"/>
      <c r="J31" s="467" t="n"/>
      <c r="K31" s="377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2" t="n"/>
      <c r="M31" s="2" t="n"/>
    </row>
    <row r="32" ht="27" customHeight="1" s="462" thickBot="1">
      <c r="B32" s="26" t="inlineStr">
        <is>
          <t>2(255)</t>
        </is>
      </c>
      <c r="C32" s="21" t="inlineStr">
        <is>
          <t>山岸</t>
        </is>
      </c>
      <c r="D32" s="34" t="n"/>
      <c r="E32" s="34" t="n"/>
      <c r="F32" s="466" t="n"/>
      <c r="H32" s="468" t="n"/>
      <c r="I32" s="477" t="n"/>
      <c r="J32" s="469" t="n"/>
      <c r="K32" s="470" t="n"/>
      <c r="L32" s="2" t="n"/>
      <c r="M32" s="2" t="n"/>
    </row>
    <row r="33">
      <c r="B33" s="26" t="inlineStr">
        <is>
          <t>8(254)</t>
        </is>
      </c>
      <c r="C33" s="21" t="inlineStr">
        <is>
          <t>砂川</t>
        </is>
      </c>
      <c r="D33" s="35" t="n"/>
      <c r="E33" s="35" t="n"/>
      <c r="F33" s="466" t="n"/>
      <c r="H33" s="368" t="inlineStr">
        <is>
          <t>残距離</t>
        </is>
      </c>
      <c r="J33" s="471" t="n"/>
      <c r="K33" s="354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2" t="n"/>
      <c r="M33" s="2" t="n"/>
    </row>
    <row r="34" ht="14.25" customHeight="1" s="462" thickBot="1">
      <c r="B34" s="26" t="inlineStr">
        <is>
          <t>9(256)</t>
        </is>
      </c>
      <c r="C34" s="21" t="inlineStr">
        <is>
          <t>前川</t>
        </is>
      </c>
      <c r="D34" s="35" t="n"/>
      <c r="E34" s="35" t="n"/>
      <c r="F34" s="466" t="n"/>
      <c r="H34" s="468" t="n"/>
      <c r="I34" s="477" t="n"/>
      <c r="J34" s="469" t="n"/>
      <c r="K34" s="472" t="n"/>
      <c r="L34" s="2" t="n"/>
      <c r="M34" s="2" t="n"/>
    </row>
    <row r="35" ht="14.25" customHeight="1" s="462" thickBot="1">
      <c r="B35" s="26" t="inlineStr">
        <is>
          <t>10(257)</t>
        </is>
      </c>
      <c r="C35" s="35" t="n"/>
      <c r="D35" s="35" t="n"/>
      <c r="E35" s="35" t="n"/>
      <c r="F35" s="466" t="n"/>
      <c r="J35" s="2" t="n"/>
      <c r="K35" s="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2" t="n"/>
      <c r="M35" s="2" t="n"/>
    </row>
    <row r="36">
      <c r="B36" s="26" t="inlineStr">
        <is>
          <t>11(258)</t>
        </is>
      </c>
      <c r="C36" s="21" t="inlineStr">
        <is>
          <t>郡司</t>
        </is>
      </c>
      <c r="D36" s="35" t="n"/>
      <c r="E36" s="35" t="n"/>
      <c r="F36" s="466" t="n"/>
      <c r="H36" s="350" t="inlineStr">
        <is>
          <t>依頼件数</t>
        </is>
      </c>
      <c r="I36" s="465" t="n"/>
      <c r="J36" s="467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2" t="n"/>
      <c r="M36" s="2" t="n"/>
    </row>
    <row r="37" ht="14.25" customHeight="1" s="462" thickBot="1">
      <c r="B37" s="26" t="inlineStr">
        <is>
          <t>12(736)</t>
        </is>
      </c>
      <c r="C37" s="21" t="n"/>
      <c r="D37" s="35" t="n"/>
      <c r="E37" s="35" t="n"/>
      <c r="F37" s="466" t="n"/>
      <c r="H37" s="468" t="n"/>
      <c r="I37" s="477" t="n"/>
      <c r="J37" s="469" t="n"/>
      <c r="K37" s="472" t="n"/>
      <c r="L37" s="2" t="n"/>
      <c r="M37" s="2" t="n"/>
    </row>
    <row r="38" ht="17.25" customHeight="1" s="462">
      <c r="B38" s="26" t="inlineStr">
        <is>
          <t>13(737)</t>
        </is>
      </c>
      <c r="C38" s="21" t="n"/>
      <c r="D38" s="35" t="n"/>
      <c r="E38" s="35" t="n"/>
      <c r="F38" s="466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2" t="n"/>
      <c r="M38" s="2" t="n"/>
    </row>
    <row r="39" ht="17.25" customHeight="1" s="462">
      <c r="B39" s="40" t="inlineStr">
        <is>
          <t>14(738)</t>
        </is>
      </c>
      <c r="C39" s="21" t="inlineStr">
        <is>
          <t>辻井</t>
        </is>
      </c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2" t="n"/>
      <c r="M39" s="2" t="n"/>
    </row>
    <row r="40" ht="17.25" customHeight="1" s="462">
      <c r="B40" s="41" t="n"/>
      <c r="C40" s="42" t="n"/>
      <c r="D40" s="43" t="n"/>
      <c r="E40" s="44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2" t="n"/>
      <c r="M40" s="2" t="n"/>
    </row>
    <row r="41" ht="17.25" customHeight="1" s="462">
      <c r="B41" s="45" t="n">
        <v>7290</v>
      </c>
      <c r="C41" s="21" t="inlineStr">
        <is>
          <t>佐藤</t>
        </is>
      </c>
      <c r="D41" s="35" t="n"/>
      <c r="E41" s="348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2" t="n"/>
      <c r="M41" s="2" t="n"/>
    </row>
    <row r="42" ht="16.5" customHeight="1" s="462">
      <c r="B42" s="45" t="n">
        <v>7291</v>
      </c>
      <c r="C42" s="21" t="inlineStr">
        <is>
          <t>末次</t>
        </is>
      </c>
      <c r="D42" s="35" t="n"/>
      <c r="E42" s="348" t="n"/>
      <c r="F42" s="34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2" t="n"/>
      <c r="M42" s="2" t="n"/>
    </row>
    <row r="43" ht="16.5" customHeight="1" s="462">
      <c r="B43" s="41" t="n"/>
      <c r="C43" s="42" t="n"/>
      <c r="D43" s="44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2" t="n"/>
      <c r="M43" s="2" t="n"/>
    </row>
    <row r="44" ht="8.25" customHeight="1" s="462">
      <c r="B44" s="45" t="n">
        <v>333</v>
      </c>
      <c r="C44" s="21" t="inlineStr">
        <is>
          <t>金井/奥田</t>
        </is>
      </c>
      <c r="D44" s="35" t="n"/>
      <c r="E44" s="484" t="n"/>
      <c r="F44" s="46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  <c r="M44" s="2" t="n"/>
    </row>
    <row r="45" ht="17.25" customHeight="1" s="462">
      <c r="B45" s="46" t="n">
        <v>666</v>
      </c>
      <c r="C45" s="21" t="inlineStr">
        <is>
          <t>徳留</t>
        </is>
      </c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  <c r="M45" s="2" t="n"/>
    </row>
    <row r="46" ht="17.25" customHeight="1" s="462">
      <c r="B46" s="46" t="n">
        <v>777</v>
      </c>
      <c r="C46" s="21" t="n"/>
      <c r="D46" s="35" t="n"/>
      <c r="E46" s="348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2" t="n"/>
      <c r="M46" s="2" t="n"/>
    </row>
    <row r="47" ht="9" customHeight="1" s="462">
      <c r="B47" s="47" t="n">
        <v>330</v>
      </c>
      <c r="C47" s="21" t="n"/>
      <c r="D47" s="35" t="n"/>
      <c r="E47" s="35" t="n"/>
      <c r="F47" s="466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7" s="2" t="n"/>
      <c r="M47" s="2" t="n"/>
    </row>
    <row r="48" ht="16.5" customHeight="1" s="462">
      <c r="B48" s="47" t="n">
        <v>990</v>
      </c>
      <c r="C48" s="21" t="inlineStr">
        <is>
          <t>山原</t>
        </is>
      </c>
      <c r="D48" s="35" t="n"/>
      <c r="E48" s="35" t="n"/>
      <c r="F48" s="466" t="n"/>
      <c r="H48" s="38" t="n"/>
      <c r="I48" s="38" t="n"/>
      <c r="J48" s="38" t="n"/>
      <c r="K48" s="39" t="n"/>
      <c r="L48" s="2" t="n"/>
      <c r="M48" s="2" t="n"/>
    </row>
    <row r="49" ht="16.5" customHeight="1" s="462">
      <c r="J49" s="2" t="n"/>
      <c r="K49" s="2" t="n"/>
      <c r="L49" s="2" t="n"/>
      <c r="M49" s="2" t="n"/>
    </row>
    <row r="50" ht="16.5" customHeight="1" s="462">
      <c r="C50" s="449" t="inlineStr">
        <is>
          <t>出発→到着</t>
        </is>
      </c>
      <c r="D50" s="420" t="inlineStr">
        <is>
          <t>備考</t>
        </is>
      </c>
      <c r="J50" s="2" t="n"/>
      <c r="K50" s="2" t="n"/>
      <c r="L50" s="2" t="n"/>
      <c r="M50" s="2" t="n"/>
    </row>
    <row r="51" ht="16.5" customHeight="1" s="462">
      <c r="B51" s="27" t="inlineStr">
        <is>
          <t>①</t>
        </is>
      </c>
      <c r="C51" s="449" t="inlineStr">
        <is>
          <t>東→西</t>
        </is>
      </c>
      <c r="D51" s="485" t="inlineStr">
        <is>
          <t>①Aチーム優先</t>
        </is>
      </c>
      <c r="E51" s="486" t="n"/>
      <c r="F51" s="486" t="n"/>
      <c r="G51" s="486" t="n"/>
      <c r="H51" s="486" t="n"/>
      <c r="I51" s="486" t="n"/>
      <c r="J51" s="466" t="n"/>
      <c r="K51" s="2" t="n"/>
      <c r="L51" s="2" t="n"/>
      <c r="M51" s="2" t="n"/>
    </row>
    <row r="52" ht="16.5" customHeight="1" s="462">
      <c r="B52" s="27" t="inlineStr">
        <is>
          <t>②</t>
        </is>
      </c>
      <c r="C52" s="449" t="inlineStr">
        <is>
          <t>東→東</t>
        </is>
      </c>
      <c r="D52" s="485" t="inlineStr">
        <is>
          <t>②急ぎ案件の場合、道路状況も伝えてあげる。</t>
        </is>
      </c>
      <c r="E52" s="486" t="n"/>
      <c r="F52" s="486" t="n"/>
      <c r="G52" s="486" t="n"/>
      <c r="H52" s="486" t="n"/>
      <c r="I52" s="486" t="n"/>
      <c r="J52" s="466" t="n"/>
      <c r="K52" s="2" t="n"/>
      <c r="L52" s="2" t="n"/>
      <c r="M52" s="2" t="n"/>
    </row>
    <row r="53">
      <c r="B53" s="27" t="inlineStr">
        <is>
          <t>③</t>
        </is>
      </c>
      <c r="C53" s="449" t="inlineStr">
        <is>
          <t>西→東</t>
        </is>
      </c>
      <c r="D53" s="485" t="inlineStr">
        <is>
          <t>③各ドライバーの位置からの帰社のタイミング・夕方の配置</t>
        </is>
      </c>
      <c r="E53" s="486" t="n"/>
      <c r="F53" s="486" t="n"/>
      <c r="G53" s="486" t="n"/>
      <c r="H53" s="486" t="n"/>
      <c r="I53" s="486" t="n"/>
      <c r="J53" s="466" t="n"/>
      <c r="K53" s="2" t="n"/>
      <c r="L53" s="2" t="n"/>
      <c r="M53" s="2" t="n"/>
    </row>
    <row r="54">
      <c r="B54" s="27" t="inlineStr">
        <is>
          <t>④</t>
        </is>
      </c>
      <c r="C54" s="449" t="inlineStr">
        <is>
          <t>西→西</t>
        </is>
      </c>
      <c r="D54" s="485" t="inlineStr">
        <is>
          <t>④依頼を受ける際の、希望時間と現状の位置。行けるか行けないかの判断をしっかりと。</t>
        </is>
      </c>
      <c r="E54" s="486" t="n"/>
      <c r="F54" s="486" t="n"/>
      <c r="G54" s="486" t="n"/>
      <c r="H54" s="486" t="n"/>
      <c r="I54" s="486" t="n"/>
      <c r="J54" s="466" t="n"/>
      <c r="K54" s="2" t="n"/>
      <c r="L54" s="2" t="n"/>
      <c r="M54" s="2" t="n"/>
    </row>
    <row r="55">
      <c r="D55" s="485" t="inlineStr">
        <is>
          <t>⑤軽に乗るか乗らないかの判断に気を付ける。</t>
        </is>
      </c>
      <c r="E55" s="486" t="n"/>
      <c r="F55" s="486" t="n"/>
      <c r="G55" s="486" t="n"/>
      <c r="H55" s="486" t="n"/>
      <c r="I55" s="486" t="n"/>
      <c r="J55" s="466" t="n"/>
      <c r="K55" s="2" t="n"/>
      <c r="L55" s="2" t="n"/>
      <c r="M55" s="2" t="n"/>
    </row>
    <row r="56">
      <c r="B56" s="22" t="n"/>
      <c r="C56" s="420" t="inlineStr">
        <is>
          <t>現状配置(予測)</t>
        </is>
      </c>
      <c r="D56" s="485" t="inlineStr">
        <is>
          <t>⑥18/1日、1.8/1人、3件/1人</t>
        </is>
      </c>
      <c r="E56" s="486" t="n"/>
      <c r="F56" s="486" t="n"/>
      <c r="G56" s="486" t="n"/>
      <c r="H56" s="486" t="n"/>
      <c r="I56" s="486" t="n"/>
      <c r="J56" s="466" t="n"/>
      <c r="K56" s="2" t="n"/>
      <c r="L56" s="2" t="n"/>
      <c r="M56" s="2" t="n"/>
    </row>
    <row r="57">
      <c r="B57" s="420" t="inlineStr">
        <is>
          <t>西(神戸西・弥栄台)</t>
        </is>
      </c>
      <c r="C57" s="420" t="n"/>
      <c r="D57" s="485" t="inlineStr">
        <is>
          <t>⑦依頼書の見落とし(日付、入替、入出庫、場所）</t>
        </is>
      </c>
      <c r="E57" s="486" t="n"/>
      <c r="F57" s="486" t="n"/>
      <c r="G57" s="486" t="n"/>
      <c r="H57" s="486" t="n"/>
      <c r="I57" s="486" t="n"/>
      <c r="J57" s="466" t="n"/>
      <c r="K57" s="2" t="n"/>
      <c r="L57" s="2" t="n"/>
      <c r="M57" s="2" t="n"/>
    </row>
    <row r="58">
      <c r="B58" s="420" t="inlineStr">
        <is>
          <t>真ん中(摩耶・中央)</t>
        </is>
      </c>
      <c r="C58" s="420" t="n"/>
      <c r="D58" s="485" t="inlineStr">
        <is>
          <t>⑧3ｔ車と2ｔ車への振り方(西と東に振り分ける)</t>
        </is>
      </c>
      <c r="E58" s="486" t="n"/>
      <c r="F58" s="486" t="n"/>
      <c r="G58" s="486" t="n"/>
      <c r="H58" s="486" t="n"/>
      <c r="I58" s="486" t="n"/>
      <c r="J58" s="466" t="n"/>
      <c r="K58" s="2" t="n"/>
      <c r="L58" s="2" t="n"/>
      <c r="M58" s="2" t="n"/>
    </row>
    <row r="59">
      <c r="B59" s="420" t="inlineStr">
        <is>
          <t>東(尼崎・伊丹・西宮)</t>
        </is>
      </c>
      <c r="C59" s="420" t="n"/>
      <c r="D59" s="485" t="inlineStr">
        <is>
          <t>⑨</t>
        </is>
      </c>
      <c r="E59" s="486" t="n"/>
      <c r="F59" s="486" t="n"/>
      <c r="G59" s="486" t="n"/>
      <c r="H59" s="486" t="n"/>
      <c r="I59" s="486" t="n"/>
      <c r="J59" s="466" t="n"/>
      <c r="K59" s="2" t="n"/>
      <c r="L59" s="2" t="n"/>
      <c r="M59" s="2" t="n"/>
    </row>
    <row r="60">
      <c r="B60" s="48" t="inlineStr">
        <is>
          <t>極東(港区・淀屋橋)</t>
        </is>
      </c>
      <c r="C60" s="420" t="n"/>
      <c r="D60" s="49" t="n"/>
      <c r="E60" s="49" t="n"/>
      <c r="F60" s="49" t="n"/>
      <c r="G60" s="49" t="n"/>
      <c r="H60" s="49" t="n"/>
      <c r="I60" s="49" t="n"/>
      <c r="J60" s="49" t="n"/>
      <c r="K60" s="2" t="n"/>
      <c r="L60" s="2" t="n"/>
      <c r="M60" s="2" t="n"/>
    </row>
    <row r="61" ht="14.25" customHeight="1" s="462" thickBot="1">
      <c r="J61" s="2" t="n"/>
      <c r="K61" s="2" t="n"/>
      <c r="L61" s="2" t="n"/>
      <c r="M61" s="2" t="n"/>
    </row>
    <row r="62">
      <c r="C62" s="473" t="inlineStr">
        <is>
          <t>合計額/380</t>
        </is>
      </c>
      <c r="D62" s="358">
        <f>SUM(G62)</f>
        <v/>
      </c>
      <c r="F62" s="360" t="inlineStr">
        <is>
          <t>売り上げ額</t>
        </is>
      </c>
      <c r="G62" s="362">
        <f>SUM(SUM(K4:K28))+SUM(#REF!)</f>
        <v/>
      </c>
      <c r="H62" s="465" t="n"/>
      <c r="I62" s="465" t="n"/>
      <c r="J62" s="467" t="n"/>
      <c r="K62" s="2" t="n"/>
      <c r="L62" s="2" t="n"/>
      <c r="M62" s="2" t="n"/>
    </row>
    <row r="63" ht="14.25" customHeight="1" s="462" thickBot="1">
      <c r="C63" s="474" t="n"/>
      <c r="D63" s="475" t="n"/>
      <c r="F63" s="468" t="n"/>
      <c r="G63" s="476" t="n"/>
      <c r="H63" s="477" t="n"/>
      <c r="I63" s="477" t="n"/>
      <c r="J63" s="469" t="n"/>
      <c r="K63" s="2" t="n"/>
      <c r="L63" s="2" t="n"/>
      <c r="M63" s="2" t="n"/>
    </row>
    <row r="64">
      <c r="C64" s="478" t="inlineStr">
        <is>
          <t>前日までの売上合計額</t>
        </is>
      </c>
      <c r="D64" s="479">
        <f>SUM(B73)</f>
        <v/>
      </c>
      <c r="J64" s="2" t="n"/>
      <c r="K64" s="2" t="n"/>
      <c r="L64" s="2" t="n"/>
      <c r="M64" s="2" t="n"/>
    </row>
    <row r="65" ht="14.25" customHeight="1" s="462" thickBot="1">
      <c r="C65" s="480" t="n"/>
      <c r="D65" s="480" t="n"/>
      <c r="F65" s="420" t="inlineStr">
        <is>
          <t>金井（55)</t>
        </is>
      </c>
      <c r="G65" s="345" t="n"/>
      <c r="H65" s="466" t="n"/>
      <c r="I65" s="130" t="n"/>
      <c r="J65" s="2" t="n"/>
      <c r="K65" s="2" t="n"/>
      <c r="L65" s="2" t="n"/>
      <c r="M65" s="2" t="n"/>
    </row>
    <row r="66" ht="14.25" customHeight="1" s="462" thickTop="1">
      <c r="D66" s="346">
        <f>D62+D64</f>
        <v/>
      </c>
      <c r="F66" s="420" t="inlineStr">
        <is>
          <t>粟津(55)</t>
        </is>
      </c>
      <c r="G66" s="340" t="n"/>
      <c r="H66" s="466" t="n"/>
      <c r="I66" s="131" t="n"/>
      <c r="J66" s="2" t="n"/>
      <c r="K66" s="2" t="n"/>
      <c r="L66" s="2" t="n"/>
      <c r="M66" s="2" t="n"/>
    </row>
    <row r="67">
      <c r="F67" s="420" t="inlineStr">
        <is>
          <t>砂川(50)</t>
        </is>
      </c>
      <c r="G67" s="340" t="n"/>
      <c r="H67" s="466" t="n"/>
      <c r="I67" s="131" t="n"/>
      <c r="J67" s="2" t="n"/>
      <c r="K67" s="2" t="n"/>
      <c r="L67" s="2" t="n"/>
      <c r="M67" s="2" t="n"/>
    </row>
    <row r="68">
      <c r="C68" s="2" t="inlineStr">
        <is>
          <t>高代</t>
        </is>
      </c>
      <c r="F68" s="420" t="inlineStr">
        <is>
          <t>前川(50)</t>
        </is>
      </c>
      <c r="G68" s="340" t="n"/>
      <c r="H68" s="466" t="n"/>
      <c r="I68" s="131" t="n"/>
      <c r="J68" s="2" t="n"/>
      <c r="K68" s="2" t="n"/>
      <c r="L68" s="2" t="n"/>
      <c r="M68" s="2" t="n"/>
    </row>
    <row r="69">
      <c r="C69" s="2" t="inlineStr">
        <is>
          <t>返還代</t>
        </is>
      </c>
      <c r="F69" s="420" t="inlineStr">
        <is>
          <t>佐藤(50)</t>
        </is>
      </c>
      <c r="G69" s="345" t="n"/>
      <c r="H69" s="466" t="n"/>
      <c r="I69" s="130" t="n"/>
      <c r="J69" s="2" t="n"/>
      <c r="K69" s="2" t="n"/>
      <c r="L69" s="2" t="n"/>
      <c r="M69" s="2" t="n"/>
    </row>
    <row r="70">
      <c r="C70" s="2" t="inlineStr">
        <is>
          <t>回収率</t>
        </is>
      </c>
      <c r="D70" s="50">
        <f>D69/D68</f>
        <v/>
      </c>
      <c r="F70" s="420" t="inlineStr">
        <is>
          <t>末次(55)</t>
        </is>
      </c>
      <c r="G70" s="340" t="n"/>
      <c r="H70" s="466" t="n"/>
      <c r="I70" s="131" t="n"/>
      <c r="J70" s="2" t="n"/>
      <c r="K70" s="2" t="n"/>
      <c r="L70" s="2" t="n"/>
      <c r="M70" s="2" t="n"/>
    </row>
    <row r="71">
      <c r="C71" s="2" t="inlineStr">
        <is>
          <t>費</t>
        </is>
      </c>
      <c r="D71" s="2">
        <f>D68-D69</f>
        <v/>
      </c>
      <c r="F71" s="420" t="inlineStr">
        <is>
          <t>筒井(75)</t>
        </is>
      </c>
      <c r="G71" s="340" t="n"/>
      <c r="H71" s="466" t="n"/>
      <c r="I71" s="131" t="n"/>
      <c r="J71" s="2" t="n"/>
      <c r="K71" s="2" t="n"/>
      <c r="L71" s="2" t="n"/>
      <c r="M71" s="2" t="n"/>
    </row>
    <row r="72">
      <c r="F72" s="420" t="inlineStr">
        <is>
          <t>山岸(40)</t>
        </is>
      </c>
      <c r="G72" s="340" t="n"/>
      <c r="H72" s="466" t="n"/>
      <c r="I72" s="131" t="n"/>
      <c r="J72" s="2" t="n"/>
      <c r="K72" s="2" t="n"/>
      <c r="L72" s="2" t="n"/>
      <c r="M72" s="2" t="n"/>
    </row>
    <row r="73" ht="17.25" customHeight="1" s="462">
      <c r="B73" s="71" t="n"/>
      <c r="F73" s="420" t="inlineStr">
        <is>
          <t>多苗(30)</t>
        </is>
      </c>
      <c r="G73" s="340" t="n"/>
      <c r="H73" s="466" t="n"/>
      <c r="I73" s="131" t="n"/>
      <c r="J73" s="2" t="n"/>
      <c r="K73" s="2" t="n"/>
      <c r="L73" s="2" t="inlineStr">
        <is>
          <t> </t>
        </is>
      </c>
      <c r="M73" s="2" t="n"/>
    </row>
    <row r="74">
      <c r="J74" s="2" t="n"/>
      <c r="K74" s="2" t="n"/>
      <c r="L74" s="2" t="n"/>
      <c r="M74" s="2" t="n"/>
    </row>
    <row r="75">
      <c r="J75" s="2" t="n"/>
      <c r="K75" s="2" t="n"/>
      <c r="L75" s="2" t="n"/>
      <c r="M75" s="2" t="n"/>
    </row>
    <row r="77" ht="23.25" customHeight="1" s="462"/>
  </sheetData>
  <mergeCells count="55">
    <mergeCell ref="K36:K37"/>
    <mergeCell ref="Q25:R25"/>
    <mergeCell ref="D58:J58"/>
    <mergeCell ref="Q3:R3"/>
    <mergeCell ref="Q21:R21"/>
    <mergeCell ref="K33:K34"/>
    <mergeCell ref="D56:J56"/>
    <mergeCell ref="E33:F33"/>
    <mergeCell ref="Q28:R28"/>
    <mergeCell ref="G71:H71"/>
    <mergeCell ref="Q24:R24"/>
    <mergeCell ref="G67:H67"/>
    <mergeCell ref="D55:J55"/>
    <mergeCell ref="E48:F48"/>
    <mergeCell ref="G70:H70"/>
    <mergeCell ref="E39:F39"/>
    <mergeCell ref="H33:J34"/>
    <mergeCell ref="D51:J51"/>
    <mergeCell ref="E44:F44"/>
    <mergeCell ref="E35:F35"/>
    <mergeCell ref="B2:C2"/>
    <mergeCell ref="D54:J54"/>
    <mergeCell ref="E38:F38"/>
    <mergeCell ref="G62:J63"/>
    <mergeCell ref="D66:D67"/>
    <mergeCell ref="D59:J59"/>
    <mergeCell ref="Q5:R5"/>
    <mergeCell ref="Q20:R20"/>
    <mergeCell ref="Q23:R23"/>
    <mergeCell ref="G66:H66"/>
    <mergeCell ref="K31:K32"/>
    <mergeCell ref="G69:H69"/>
    <mergeCell ref="E31:F31"/>
    <mergeCell ref="Q4:R4"/>
    <mergeCell ref="D62:D63"/>
    <mergeCell ref="E34:F34"/>
    <mergeCell ref="F62:F63"/>
    <mergeCell ref="H31:J32"/>
    <mergeCell ref="G68:H68"/>
    <mergeCell ref="D52:J52"/>
    <mergeCell ref="E45:F45"/>
    <mergeCell ref="D64:D65"/>
    <mergeCell ref="Q22:R22"/>
    <mergeCell ref="E36:F36"/>
    <mergeCell ref="D57:J57"/>
    <mergeCell ref="G65:H65"/>
    <mergeCell ref="H36:J37"/>
    <mergeCell ref="C62:C63"/>
    <mergeCell ref="G73:H73"/>
    <mergeCell ref="E32:F32"/>
    <mergeCell ref="D53:J53"/>
    <mergeCell ref="E37:F37"/>
    <mergeCell ref="C64:C65"/>
    <mergeCell ref="E47:F47"/>
    <mergeCell ref="G72:H72"/>
  </mergeCells>
  <conditionalFormatting sqref="L3:L28">
    <cfRule type="cellIs" priority="3" operator="greaterThan" dxfId="0">
      <formula>30</formula>
    </cfRule>
  </conditionalFormatting>
  <conditionalFormatting sqref="K33:K3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36">
    <cfRule type="containsText" priority="6" operator="containsText" dxfId="3" text="～">
      <formula>NOT(ISERROR(SEARCH("～",D5)))</formula>
    </cfRule>
  </conditionalFormatting>
  <pageMargins left="0.7086614173228347" right="0.7086614173228347" top="0.3543307086614174" bottom="0.1574803149606299" header="0.3149606299212598" footer="0.3149606299212598"/>
  <pageSetup orientation="landscape" paperSize="9" scale="53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R87"/>
  <sheetViews>
    <sheetView zoomScaleNormal="100" workbookViewId="0">
      <selection activeCell="F7" sqref="F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449" min="10" max="10"/>
    <col width="20.25" customWidth="1" style="77" min="11" max="11"/>
    <col width="8.75" customWidth="1" style="449" min="12" max="13"/>
    <col width="8.75" customWidth="1" style="2" min="14" max="16384"/>
  </cols>
  <sheetData>
    <row r="1"/>
    <row r="2" ht="15" customHeight="1" s="462" thickBot="1">
      <c r="B2" s="493" t="n">
        <v>46200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441" t="n"/>
      <c r="D6" s="63" t="n"/>
      <c r="E6" s="441" t="n"/>
      <c r="F6" s="57" t="n"/>
      <c r="G6" s="68" t="n"/>
      <c r="H6" s="438" t="n"/>
      <c r="I6" s="295">
        <f>IFERROR(_xlfn.XLOOKUP(H6,案件・ドライバー一覧!$L$3:$L$17,案件・ドライバー一覧!$M$3:$M$17,""),"")</f>
        <v/>
      </c>
      <c r="J6" s="57" t="n"/>
      <c r="K6" s="73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N6" s="449" t="n"/>
      <c r="O6" s="449" t="n"/>
      <c r="P6" s="449" t="n"/>
      <c r="Q6" s="449" t="n"/>
    </row>
    <row r="7" ht="36" customHeight="1" s="462">
      <c r="A7" s="423">
        <f>IF(B7="","",COUNTA($B$5:B7))</f>
        <v/>
      </c>
      <c r="B7" s="57" t="n"/>
      <c r="C7" s="64" t="n"/>
      <c r="D7" s="63" t="n"/>
      <c r="E7" s="64" t="n"/>
      <c r="F7" s="57" t="n"/>
      <c r="G7" s="59" t="n"/>
      <c r="H7" s="438" t="n"/>
      <c r="I7" s="295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4" t="n"/>
      <c r="D8" s="441" t="n"/>
      <c r="E8" s="441" t="n"/>
      <c r="F8" s="57" t="n"/>
      <c r="G8" s="59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438" t="n"/>
      <c r="I9" s="296">
        <f>IFERROR(_xlfn.XLOOKUP(H9,案件・ドライバー一覧!$L$3:$L$17,案件・ドライバー一覧!$M$3:$M$17,""),"")</f>
        <v/>
      </c>
      <c r="J9" s="420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438" t="n"/>
      <c r="I10" s="295">
        <f>IFERROR(_xlfn.XLOOKUP(H10,案件・ドライバー一覧!$L$3:$L$17,案件・ドライバー一覧!$M$3:$M$17,""),"")</f>
        <v/>
      </c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16.5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427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438" t="n"/>
      <c r="I18" s="427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441" t="n"/>
      <c r="D19" s="441" t="n"/>
      <c r="E19" s="441" t="n"/>
      <c r="F19" s="57" t="n"/>
      <c r="G19" s="65" t="n"/>
      <c r="H19" s="438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28.5" customHeight="1" s="462">
      <c r="A20" s="423">
        <f>IF(B20="","",COUNTA($B$5:B20))</f>
        <v/>
      </c>
      <c r="B20" s="57" t="n"/>
      <c r="C20" s="64" t="n"/>
      <c r="D20" s="441" t="n"/>
      <c r="E20" s="63" t="n"/>
      <c r="F20" s="441" t="n"/>
      <c r="G20" s="59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63" t="n"/>
      <c r="D21" s="441" t="n"/>
      <c r="E21" s="441" t="n"/>
      <c r="F21" s="57" t="n"/>
      <c r="G21" s="65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  <c r="R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65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  <c r="R25" s="449" t="n"/>
    </row>
    <row r="26" ht="15.75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27" customHeight="1" s="462">
      <c r="A28" s="423">
        <f>IF(B28="","",COUNTA($B$5:B28))</f>
        <v/>
      </c>
      <c r="B28" s="57" t="n"/>
      <c r="C28" s="62" t="n"/>
      <c r="D28" s="63" t="n"/>
      <c r="E28" s="441" t="n"/>
      <c r="F28" s="57" t="n"/>
      <c r="G28" s="66" t="n"/>
      <c r="H28" s="438" t="n"/>
      <c r="I28" s="427" t="n"/>
      <c r="J28" s="57" t="n"/>
      <c r="K28" s="73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</row>
    <row r="29" ht="27" customHeight="1" s="462">
      <c r="A29" s="423">
        <f>IF(B29="","",COUNTA($B$5:B29))</f>
        <v/>
      </c>
      <c r="B29" s="57" t="n"/>
      <c r="C29" s="63" t="n"/>
      <c r="D29" s="64" t="n"/>
      <c r="E29" s="420" t="n"/>
      <c r="F29" s="57" t="n"/>
      <c r="G29" s="66" t="n"/>
      <c r="H29" s="438" t="n"/>
      <c r="I29" s="438" t="n"/>
      <c r="J29" s="420" t="n"/>
      <c r="K29" s="73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N29" s="449" t="n"/>
      <c r="O29" s="449" t="n"/>
      <c r="P29" s="449" t="n"/>
      <c r="Q29" s="449" t="n"/>
    </row>
    <row r="30" ht="27" customHeight="1" s="462">
      <c r="A30" s="423">
        <f>IF(B30="","",COUNTA($B$5:B30))</f>
        <v/>
      </c>
      <c r="B30" s="57" t="n"/>
      <c r="C30" s="63" t="n"/>
      <c r="D30" s="64" t="n"/>
      <c r="E30" s="57" t="n"/>
      <c r="F30" s="57" t="n"/>
      <c r="G30" s="66" t="n"/>
      <c r="H30" s="438" t="n"/>
      <c r="I30" s="427" t="n"/>
      <c r="J30" s="57" t="n"/>
      <c r="K30" s="7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IF(B31="","",COUNTA($B$5:B31))</f>
        <v/>
      </c>
      <c r="B31" s="57" t="n"/>
      <c r="C31" s="420" t="n"/>
      <c r="D31" s="63" t="n"/>
      <c r="E31" s="441" t="n"/>
      <c r="F31" s="57" t="n"/>
      <c r="G31" s="65" t="n"/>
      <c r="H31" s="438" t="n"/>
      <c r="I31" s="427" t="n"/>
      <c r="J31" s="57" t="n"/>
      <c r="K31" s="7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N31" s="449" t="n"/>
      <c r="O31" s="449" t="n"/>
      <c r="P31" s="449" t="n"/>
      <c r="Q31" s="449" t="n"/>
    </row>
    <row r="32" ht="27" customHeight="1" s="462">
      <c r="A32" s="423">
        <f>IF(B32="","",COUNTA($B$5:B32))</f>
        <v/>
      </c>
      <c r="B32" s="57" t="n"/>
      <c r="C32" s="57" t="n"/>
      <c r="D32" s="441" t="n"/>
      <c r="E32" s="441" t="n"/>
      <c r="F32" s="57" t="n"/>
      <c r="G32" s="66" t="n"/>
      <c r="H32" s="438" t="n"/>
      <c r="I32" s="427" t="n"/>
      <c r="J32" s="57" t="n"/>
      <c r="K32" s="72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N32" s="449" t="n"/>
      <c r="O32" s="449" t="n"/>
      <c r="P32" s="449" t="n"/>
      <c r="Q32" s="449" t="n"/>
    </row>
    <row r="33" ht="27.75" customHeight="1" s="462">
      <c r="A33" s="423">
        <f>IF(B33="","",COUNTA($B$5:B33))</f>
        <v/>
      </c>
      <c r="B33" s="441" t="n"/>
      <c r="C33" s="440" t="n"/>
      <c r="D33" s="441" t="n"/>
      <c r="E33" s="440" t="n"/>
      <c r="F33" s="57" t="n"/>
      <c r="G33" s="65" t="n"/>
      <c r="H33" s="438" t="n"/>
      <c r="I33" s="438" t="n"/>
      <c r="J33" s="420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N33" s="449" t="n"/>
      <c r="O33" s="449" t="n"/>
      <c r="P33" s="449" t="n"/>
      <c r="Q33" s="449" t="n"/>
    </row>
    <row r="34" ht="27" customHeight="1" s="462">
      <c r="A34" s="423">
        <f>IF(B34="","",COUNTA($B$5:B34))</f>
        <v/>
      </c>
      <c r="B34" s="441" t="n"/>
      <c r="C34" s="63" t="n"/>
      <c r="D34" s="440" t="n"/>
      <c r="E34" s="441" t="n"/>
      <c r="F34" s="57" t="n"/>
      <c r="G34" s="59" t="n"/>
      <c r="H34" s="438" t="n"/>
      <c r="I34" s="427" t="n"/>
      <c r="J34" s="57" t="n"/>
      <c r="K34" s="73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N34" s="449" t="n"/>
      <c r="O34" s="449" t="n"/>
      <c r="P34" s="449" t="n"/>
      <c r="Q34" s="449" t="n"/>
    </row>
    <row r="35" ht="27" customHeight="1" s="462">
      <c r="A35" s="423" t="n"/>
      <c r="B35" s="441" t="n"/>
      <c r="C35" s="63" t="n"/>
      <c r="D35" s="440" t="n"/>
      <c r="E35" s="441" t="n"/>
      <c r="F35" s="57" t="n"/>
      <c r="G35" s="59" t="n"/>
      <c r="H35" s="438" t="n"/>
      <c r="I35" s="427" t="n"/>
      <c r="J35" s="57" t="n"/>
      <c r="K35" s="73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N35" s="449" t="n"/>
      <c r="O35" s="449" t="n"/>
      <c r="P35" s="449" t="n"/>
      <c r="Q35" s="449" t="n"/>
      <c r="R35" s="449" t="n"/>
    </row>
    <row r="36" ht="27" customHeight="1" s="462">
      <c r="A36" s="423">
        <f>IF(B36="","",COUNTA($B$5:B36))</f>
        <v/>
      </c>
      <c r="B36" s="441" t="n"/>
      <c r="C36" s="63" t="n"/>
      <c r="D36" s="440" t="n"/>
      <c r="E36" s="441" t="n"/>
      <c r="F36" s="57" t="n"/>
      <c r="G36" s="59" t="n"/>
      <c r="H36" s="438" t="n"/>
      <c r="I36" s="427" t="n"/>
      <c r="J36" s="57" t="n"/>
      <c r="K36" s="73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N36" s="449" t="n"/>
      <c r="O36" s="449" t="n"/>
      <c r="P36" s="449" t="n"/>
      <c r="Q36" s="449" t="n"/>
      <c r="R36" s="449" t="n"/>
    </row>
    <row r="37" ht="27" customHeight="1" s="462">
      <c r="A37" s="423">
        <f>IF(B37="","",COUNTA($B$5:B37))</f>
        <v/>
      </c>
      <c r="B37" s="441" t="n"/>
      <c r="C37" s="63" t="n"/>
      <c r="D37" s="440" t="n"/>
      <c r="E37" s="441" t="n"/>
      <c r="F37" s="57" t="n"/>
      <c r="G37" s="59" t="n"/>
      <c r="H37" s="74" t="n"/>
      <c r="I37" s="80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N37" s="449" t="n"/>
      <c r="O37" s="449" t="n"/>
      <c r="P37" s="449" t="n"/>
      <c r="Q37" s="449" t="n"/>
      <c r="R37" s="449" t="n"/>
    </row>
    <row r="38" ht="27" customHeight="1" s="462">
      <c r="A38" s="423">
        <f>IF(B38="","",COUNTA($B$5:B38))</f>
        <v/>
      </c>
      <c r="B38" s="420" t="n"/>
      <c r="C38" s="420" t="n"/>
      <c r="D38" s="420" t="n"/>
      <c r="E38" s="420" t="n"/>
      <c r="F38" s="420" t="n"/>
      <c r="G38" s="69" t="n"/>
      <c r="H38" s="74" t="n"/>
      <c r="I38" s="74" t="n"/>
      <c r="J38" s="420" t="n"/>
      <c r="K38" s="22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N38" s="449" t="n"/>
      <c r="O38" s="449" t="n"/>
      <c r="P38" s="449" t="n"/>
      <c r="Q38" s="449" t="n"/>
    </row>
    <row r="39" ht="27" customHeight="1" s="462">
      <c r="A39" s="423">
        <f>IF(B39="","",COUNTA($B$5:B39))</f>
        <v/>
      </c>
      <c r="B39" s="441" t="n"/>
      <c r="C39" s="63" t="n"/>
      <c r="D39" s="440" t="n"/>
      <c r="E39" s="441" t="n"/>
      <c r="F39" s="57" t="n"/>
      <c r="G39" s="59" t="n"/>
      <c r="H39" s="60" t="n"/>
      <c r="I39" s="60" t="n"/>
      <c r="J39" s="57" t="n"/>
      <c r="K39" s="73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N39" s="449" t="n"/>
      <c r="O39" s="449" t="n"/>
      <c r="P39" s="449" t="n"/>
      <c r="Q39" s="449" t="n"/>
      <c r="R39" s="449" t="n"/>
    </row>
    <row r="40" ht="27" customHeight="1" s="462">
      <c r="A40" s="423">
        <f>IF(B40="","",COUNTA($B$5:B40))</f>
        <v/>
      </c>
      <c r="B40" s="420" t="n"/>
      <c r="C40" s="420" t="n"/>
      <c r="D40" s="420" t="n"/>
      <c r="E40" s="420" t="n"/>
      <c r="F40" s="420" t="n"/>
      <c r="G40" s="69" t="n"/>
      <c r="H40" s="70" t="n"/>
      <c r="I40" s="70" t="n"/>
      <c r="J40" s="420" t="n"/>
      <c r="K40" s="22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N40" s="449" t="n"/>
      <c r="O40" s="449" t="n"/>
      <c r="P40" s="449" t="n"/>
      <c r="Q40" s="449" t="n"/>
    </row>
    <row r="41">
      <c r="B41" s="18" t="n"/>
      <c r="C41" s="18" t="n"/>
      <c r="D41" s="18" t="n"/>
      <c r="E41" s="18" t="n"/>
      <c r="F41" s="18" t="n"/>
      <c r="G41" s="19" t="n"/>
      <c r="H41" s="33" t="n"/>
      <c r="I41" s="18" t="n"/>
      <c r="J41" s="18" t="n"/>
      <c r="K41" s="18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2" t="n"/>
      <c r="M41" s="2" t="n"/>
    </row>
    <row r="42" ht="14.25" customHeight="1" s="462" thickBot="1">
      <c r="J42" s="2" t="n"/>
      <c r="K42" s="2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2" t="n"/>
      <c r="M42" s="2" t="n"/>
    </row>
    <row r="43">
      <c r="B43" s="22" t="n"/>
      <c r="C43" s="25" t="n"/>
      <c r="D43" s="25" t="inlineStr">
        <is>
          <t>現在待機場所</t>
        </is>
      </c>
      <c r="E43" s="25" t="inlineStr">
        <is>
          <t>待機予定場所</t>
        </is>
      </c>
      <c r="F43" s="466" t="n"/>
      <c r="H43" s="375" t="inlineStr">
        <is>
          <t>目標距離</t>
        </is>
      </c>
      <c r="I43" s="465" t="n"/>
      <c r="J43" s="467" t="n"/>
      <c r="K43" s="377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2" t="n"/>
      <c r="M43" s="2" t="n"/>
    </row>
    <row r="44" ht="14.25" customHeight="1" s="462" thickBot="1">
      <c r="B44" s="26" t="inlineStr">
        <is>
          <t>2(255)</t>
        </is>
      </c>
      <c r="C44" s="21" t="inlineStr">
        <is>
          <t>山岸</t>
        </is>
      </c>
      <c r="D44" s="34" t="n"/>
      <c r="E44" s="34" t="n"/>
      <c r="F44" s="466" t="n"/>
      <c r="H44" s="468" t="n"/>
      <c r="I44" s="477" t="n"/>
      <c r="J44" s="469" t="n"/>
      <c r="K44" s="470" t="n"/>
      <c r="L44" s="2" t="n"/>
      <c r="M44" s="2" t="n"/>
    </row>
    <row r="45">
      <c r="B45" s="26" t="inlineStr">
        <is>
          <t>8(254)</t>
        </is>
      </c>
      <c r="C45" s="21" t="inlineStr">
        <is>
          <t>砂川</t>
        </is>
      </c>
      <c r="D45" s="35" t="n"/>
      <c r="E45" s="35" t="n"/>
      <c r="F45" s="466" t="n"/>
      <c r="H45" s="368" t="inlineStr">
        <is>
          <t>残距離</t>
        </is>
      </c>
      <c r="J45" s="471" t="n"/>
      <c r="K45" s="354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  <c r="M45" s="2" t="n"/>
    </row>
    <row r="46" ht="14.25" customHeight="1" s="462" thickBot="1">
      <c r="B46" s="26" t="inlineStr">
        <is>
          <t>9(256)</t>
        </is>
      </c>
      <c r="C46" s="21" t="inlineStr">
        <is>
          <t>前川</t>
        </is>
      </c>
      <c r="D46" s="35" t="n"/>
      <c r="E46" s="35" t="n"/>
      <c r="F46" s="466" t="n"/>
      <c r="H46" s="468" t="n"/>
      <c r="I46" s="477" t="n"/>
      <c r="J46" s="469" t="n"/>
      <c r="K46" s="472" t="n"/>
      <c r="L46" s="2" t="n"/>
      <c r="M46" s="2" t="n"/>
    </row>
    <row r="47" ht="14.25" customHeight="1" s="462" thickBot="1">
      <c r="B47" s="26" t="inlineStr">
        <is>
          <t>10(257)</t>
        </is>
      </c>
      <c r="C47" s="35" t="n"/>
      <c r="D47" s="35" t="n"/>
      <c r="E47" s="35" t="n"/>
      <c r="F47" s="466" t="n"/>
      <c r="J47" s="2" t="n"/>
      <c r="K47" s="2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7" s="2" t="n"/>
      <c r="M47" s="2" t="n"/>
    </row>
    <row r="48">
      <c r="B48" s="26" t="inlineStr">
        <is>
          <t>11(258)</t>
        </is>
      </c>
      <c r="C48" s="21" t="inlineStr">
        <is>
          <t>郡司</t>
        </is>
      </c>
      <c r="D48" s="35" t="n"/>
      <c r="E48" s="35" t="n"/>
      <c r="F48" s="466" t="n"/>
      <c r="H48" s="350" t="inlineStr">
        <is>
          <t>依頼件数</t>
        </is>
      </c>
      <c r="I48" s="465" t="n"/>
      <c r="J48" s="467" t="n"/>
      <c r="K48" s="354">
        <f>SUM(P3:P40)+SUM(SUM(#REF!))</f>
        <v/>
      </c>
      <c r="L48" s="2" t="n"/>
      <c r="M48" s="2" t="n"/>
    </row>
    <row r="49" ht="14.25" customHeight="1" s="462" thickBot="1">
      <c r="B49" s="26" t="inlineStr">
        <is>
          <t>12(736)</t>
        </is>
      </c>
      <c r="C49" s="21" t="n"/>
      <c r="D49" s="35" t="n"/>
      <c r="E49" s="35" t="n"/>
      <c r="F49" s="466" t="n"/>
      <c r="H49" s="468" t="n"/>
      <c r="I49" s="477" t="n"/>
      <c r="J49" s="469" t="n"/>
      <c r="K49" s="472" t="n"/>
      <c r="L49" s="2" t="n"/>
      <c r="M49" s="2" t="n"/>
    </row>
    <row r="50" ht="16.5" customHeight="1" s="462">
      <c r="B50" s="26" t="inlineStr">
        <is>
          <t>13(737)</t>
        </is>
      </c>
      <c r="C50" s="21" t="n"/>
      <c r="D50" s="35" t="n"/>
      <c r="E50" s="35" t="n"/>
      <c r="F50" s="466" t="n"/>
      <c r="H50" s="38" t="n"/>
      <c r="I50" s="38" t="n"/>
      <c r="J50" s="38" t="n"/>
      <c r="K50" s="39" t="n"/>
      <c r="L50" s="2" t="n"/>
      <c r="M50" s="2" t="n"/>
    </row>
    <row r="51" ht="16.5" customHeight="1" s="462">
      <c r="B51" s="40" t="inlineStr">
        <is>
          <t>14(738)</t>
        </is>
      </c>
      <c r="C51" s="21" t="inlineStr">
        <is>
          <t>辻井</t>
        </is>
      </c>
      <c r="D51" s="35" t="n"/>
      <c r="E51" s="35" t="n"/>
      <c r="F51" s="466" t="n"/>
      <c r="H51" s="38" t="n"/>
      <c r="I51" s="38" t="n"/>
      <c r="J51" s="38" t="n"/>
      <c r="K51" s="39" t="n"/>
      <c r="L51" s="2" t="n"/>
      <c r="M51" s="2" t="n"/>
    </row>
    <row r="52" ht="8.25" customHeight="1" s="462">
      <c r="B52" s="41" t="n"/>
      <c r="C52" s="42" t="n"/>
      <c r="D52" s="43" t="n"/>
      <c r="E52" s="44" t="n"/>
      <c r="F52" s="349" t="n"/>
      <c r="H52" s="38" t="n"/>
      <c r="I52" s="38" t="n"/>
      <c r="J52" s="38" t="n"/>
      <c r="K52" s="39" t="n"/>
      <c r="L52" s="2" t="n"/>
      <c r="M52" s="2" t="n"/>
    </row>
    <row r="53" ht="17.25" customHeight="1" s="462">
      <c r="B53" s="45" t="n">
        <v>7290</v>
      </c>
      <c r="C53" s="21" t="inlineStr">
        <is>
          <t>佐藤</t>
        </is>
      </c>
      <c r="D53" s="35" t="n"/>
      <c r="E53" s="348" t="n"/>
      <c r="F53" s="349" t="n"/>
      <c r="H53" s="38" t="n"/>
      <c r="I53" s="38" t="n"/>
      <c r="J53" s="38" t="n"/>
      <c r="K53" s="39" t="n"/>
      <c r="L53" s="2" t="n"/>
      <c r="M53" s="2" t="n"/>
    </row>
    <row r="54" ht="17.25" customHeight="1" s="462">
      <c r="B54" s="45" t="n">
        <v>7291</v>
      </c>
      <c r="C54" s="21" t="inlineStr">
        <is>
          <t>末次</t>
        </is>
      </c>
      <c r="D54" s="35" t="n"/>
      <c r="E54" s="348" t="n"/>
      <c r="F54" s="349" t="n"/>
      <c r="H54" s="38" t="n"/>
      <c r="I54" s="38" t="n"/>
      <c r="J54" s="38" t="n"/>
      <c r="K54" s="39" t="n"/>
      <c r="L54" s="2" t="n"/>
      <c r="M54" s="2" t="n"/>
    </row>
    <row r="55" ht="9" customHeight="1" s="462">
      <c r="B55" s="41" t="n"/>
      <c r="C55" s="42" t="n"/>
      <c r="D55" s="44" t="n"/>
      <c r="E55" s="44" t="n"/>
      <c r="F55" s="349" t="n"/>
      <c r="H55" s="38" t="n"/>
      <c r="I55" s="38" t="n"/>
      <c r="J55" s="38" t="n"/>
      <c r="K55" s="39" t="n"/>
      <c r="L55" s="2" t="n"/>
      <c r="M55" s="2" t="n"/>
    </row>
    <row r="56" ht="16.5" customHeight="1" s="462">
      <c r="B56" s="45" t="n">
        <v>333</v>
      </c>
      <c r="C56" s="21" t="inlineStr">
        <is>
          <t>金井/奥田</t>
        </is>
      </c>
      <c r="D56" s="35" t="n"/>
      <c r="E56" s="484" t="n"/>
      <c r="F56" s="469" t="n"/>
      <c r="H56" s="38" t="n"/>
      <c r="I56" s="38" t="n"/>
      <c r="J56" s="38" t="n"/>
      <c r="K56" s="39" t="n"/>
      <c r="L56" s="2" t="n"/>
      <c r="M56" s="2" t="n"/>
    </row>
    <row r="57" ht="16.5" customHeight="1" s="462">
      <c r="B57" s="46" t="n">
        <v>666</v>
      </c>
      <c r="C57" s="21" t="inlineStr">
        <is>
          <t>徳留</t>
        </is>
      </c>
      <c r="D57" s="35" t="n"/>
      <c r="E57" s="35" t="n"/>
      <c r="F57" s="466" t="n"/>
      <c r="H57" s="38" t="n"/>
      <c r="I57" s="38" t="n"/>
      <c r="J57" s="38" t="n"/>
      <c r="K57" s="39" t="n"/>
      <c r="L57" s="2" t="n"/>
      <c r="M57" s="2" t="n"/>
    </row>
    <row r="58" ht="16.5" customHeight="1" s="462">
      <c r="B58" s="46" t="n">
        <v>777</v>
      </c>
      <c r="C58" s="21" t="n"/>
      <c r="D58" s="35" t="n"/>
      <c r="E58" s="348" t="n"/>
      <c r="F58" s="349" t="n"/>
      <c r="H58" s="38" t="n"/>
      <c r="I58" s="38" t="n"/>
      <c r="J58" s="38" t="n"/>
      <c r="K58" s="39" t="n"/>
      <c r="L58" s="2" t="n"/>
      <c r="M58" s="2" t="n"/>
    </row>
    <row r="59" ht="16.5" customHeight="1" s="462">
      <c r="B59" s="47" t="n">
        <v>330</v>
      </c>
      <c r="C59" s="21" t="n"/>
      <c r="D59" s="35" t="n"/>
      <c r="E59" s="35" t="n"/>
      <c r="F59" s="466" t="n"/>
      <c r="H59" s="38" t="n"/>
      <c r="I59" s="38" t="n"/>
      <c r="J59" s="38" t="n"/>
      <c r="K59" s="39" t="n"/>
      <c r="L59" s="2" t="n"/>
      <c r="M59" s="2" t="n"/>
    </row>
    <row r="60" ht="16.5" customHeight="1" s="462">
      <c r="B60" s="47" t="n">
        <v>990</v>
      </c>
      <c r="C60" s="21" t="inlineStr">
        <is>
          <t>山原</t>
        </is>
      </c>
      <c r="D60" s="35" t="n"/>
      <c r="E60" s="35" t="n"/>
      <c r="F60" s="466" t="n"/>
      <c r="H60" s="38" t="n"/>
      <c r="I60" s="38" t="n"/>
      <c r="J60" s="38" t="n"/>
      <c r="K60" s="39" t="n"/>
      <c r="L60" s="2" t="n"/>
      <c r="M60" s="2" t="n"/>
    </row>
    <row r="61">
      <c r="J61" s="2" t="n"/>
      <c r="K61" s="2" t="n"/>
      <c r="L61" s="2" t="n"/>
      <c r="M61" s="2" t="n"/>
    </row>
    <row r="62">
      <c r="C62" s="449" t="inlineStr">
        <is>
          <t>出発→到着</t>
        </is>
      </c>
      <c r="D62" s="420" t="inlineStr">
        <is>
          <t>備考</t>
        </is>
      </c>
      <c r="J62" s="2" t="n"/>
      <c r="K62" s="2" t="n"/>
      <c r="L62" s="2" t="n"/>
      <c r="M62" s="2" t="n"/>
    </row>
    <row r="63">
      <c r="B63" s="27" t="inlineStr">
        <is>
          <t>①</t>
        </is>
      </c>
      <c r="C63" s="449" t="inlineStr">
        <is>
          <t>東→西</t>
        </is>
      </c>
      <c r="D63" s="485" t="inlineStr">
        <is>
          <t>①Aチーム優先</t>
        </is>
      </c>
      <c r="E63" s="486" t="n"/>
      <c r="F63" s="486" t="n"/>
      <c r="G63" s="486" t="n"/>
      <c r="H63" s="486" t="n"/>
      <c r="I63" s="486" t="n"/>
      <c r="J63" s="466" t="n"/>
      <c r="K63" s="2" t="n"/>
      <c r="L63" s="2" t="n"/>
      <c r="M63" s="2" t="n"/>
    </row>
    <row r="64">
      <c r="B64" s="27" t="inlineStr">
        <is>
          <t>②</t>
        </is>
      </c>
      <c r="C64" s="449" t="inlineStr">
        <is>
          <t>東→東</t>
        </is>
      </c>
      <c r="D64" s="485" t="inlineStr">
        <is>
          <t>②急ぎ案件の場合、道路状況も伝えてあげる。</t>
        </is>
      </c>
      <c r="E64" s="486" t="n"/>
      <c r="F64" s="486" t="n"/>
      <c r="G64" s="486" t="n"/>
      <c r="H64" s="486" t="n"/>
      <c r="I64" s="486" t="n"/>
      <c r="J64" s="466" t="n"/>
      <c r="K64" s="2" t="n"/>
      <c r="L64" s="2" t="n"/>
      <c r="M64" s="2" t="n"/>
    </row>
    <row r="65">
      <c r="B65" s="27" t="inlineStr">
        <is>
          <t>③</t>
        </is>
      </c>
      <c r="C65" s="449" t="inlineStr">
        <is>
          <t>西→東</t>
        </is>
      </c>
      <c r="D65" s="485" t="inlineStr">
        <is>
          <t>③各ドライバーの位置からの帰社のタイミング・夕方の配置</t>
        </is>
      </c>
      <c r="E65" s="486" t="n"/>
      <c r="F65" s="486" t="n"/>
      <c r="G65" s="486" t="n"/>
      <c r="H65" s="486" t="n"/>
      <c r="I65" s="486" t="n"/>
      <c r="J65" s="466" t="n"/>
      <c r="K65" s="2" t="n"/>
      <c r="L65" s="2" t="n"/>
      <c r="M65" s="2" t="n"/>
    </row>
    <row r="66">
      <c r="B66" s="27" t="inlineStr">
        <is>
          <t>④</t>
        </is>
      </c>
      <c r="C66" s="449" t="inlineStr">
        <is>
          <t>西→西</t>
        </is>
      </c>
      <c r="D66" s="485" t="inlineStr">
        <is>
          <t>④依頼を受ける際の、希望時間と現状の位置。行けるか行けないかの判断をしっかりと。</t>
        </is>
      </c>
      <c r="E66" s="486" t="n"/>
      <c r="F66" s="486" t="n"/>
      <c r="G66" s="486" t="n"/>
      <c r="H66" s="486" t="n"/>
      <c r="I66" s="486" t="n"/>
      <c r="J66" s="466" t="n"/>
      <c r="K66" s="2" t="n"/>
      <c r="L66" s="2" t="n"/>
      <c r="M66" s="2" t="n"/>
    </row>
    <row r="67">
      <c r="D67" s="485" t="inlineStr">
        <is>
          <t>⑤軽に乗るか乗らないかの判断に気を付ける。</t>
        </is>
      </c>
      <c r="E67" s="486" t="n"/>
      <c r="F67" s="486" t="n"/>
      <c r="G67" s="486" t="n"/>
      <c r="H67" s="486" t="n"/>
      <c r="I67" s="486" t="n"/>
      <c r="J67" s="466" t="n"/>
      <c r="K67" s="2" t="n"/>
      <c r="L67" s="2" t="n"/>
      <c r="M67" s="2" t="n"/>
    </row>
    <row r="68">
      <c r="B68" s="22" t="n"/>
      <c r="C68" s="420" t="inlineStr">
        <is>
          <t>現状配置(予測)</t>
        </is>
      </c>
      <c r="D68" s="485" t="inlineStr">
        <is>
          <t>⑥18/1日、1.8/1人、3件/1人</t>
        </is>
      </c>
      <c r="E68" s="486" t="n"/>
      <c r="F68" s="486" t="n"/>
      <c r="G68" s="486" t="n"/>
      <c r="H68" s="486" t="n"/>
      <c r="I68" s="486" t="n"/>
      <c r="J68" s="466" t="n"/>
      <c r="K68" s="2" t="n"/>
      <c r="L68" s="2" t="n"/>
      <c r="M68" s="2" t="n"/>
    </row>
    <row r="69">
      <c r="B69" s="420" t="inlineStr">
        <is>
          <t>西(神戸西・弥栄台)</t>
        </is>
      </c>
      <c r="C69" s="420" t="n"/>
      <c r="D69" s="485" t="inlineStr">
        <is>
          <t>⑦依頼書の見落とし(日付、入替、入出庫、場所）</t>
        </is>
      </c>
      <c r="E69" s="486" t="n"/>
      <c r="F69" s="486" t="n"/>
      <c r="G69" s="486" t="n"/>
      <c r="H69" s="486" t="n"/>
      <c r="I69" s="486" t="n"/>
      <c r="J69" s="466" t="n"/>
      <c r="K69" s="2" t="n"/>
      <c r="L69" s="2" t="n"/>
      <c r="M69" s="2" t="n"/>
    </row>
    <row r="70">
      <c r="B70" s="420" t="inlineStr">
        <is>
          <t>真ん中(摩耶・中央)</t>
        </is>
      </c>
      <c r="C70" s="420" t="n"/>
      <c r="D70" s="485" t="inlineStr">
        <is>
          <t>⑧3ｔ車と2ｔ車への振り方(西と東に振り分ける)</t>
        </is>
      </c>
      <c r="E70" s="486" t="n"/>
      <c r="F70" s="486" t="n"/>
      <c r="G70" s="486" t="n"/>
      <c r="H70" s="486" t="n"/>
      <c r="I70" s="486" t="n"/>
      <c r="J70" s="466" t="n"/>
      <c r="K70" s="2" t="n"/>
      <c r="L70" s="2" t="n"/>
      <c r="M70" s="2" t="n"/>
    </row>
    <row r="71">
      <c r="B71" s="420" t="inlineStr">
        <is>
          <t>東(尼崎・伊丹・西宮)</t>
        </is>
      </c>
      <c r="C71" s="420" t="n"/>
      <c r="D71" s="485" t="inlineStr">
        <is>
          <t>⑨</t>
        </is>
      </c>
      <c r="E71" s="486" t="n"/>
      <c r="F71" s="486" t="n"/>
      <c r="G71" s="486" t="n"/>
      <c r="H71" s="486" t="n"/>
      <c r="I71" s="486" t="n"/>
      <c r="J71" s="466" t="n"/>
      <c r="K71" s="2" t="n"/>
      <c r="L71" s="2" t="n"/>
      <c r="M71" s="2" t="n"/>
    </row>
    <row r="72">
      <c r="B72" s="48" t="inlineStr">
        <is>
          <t>極東(港区・淀屋橋)</t>
        </is>
      </c>
      <c r="C72" s="420" t="n"/>
      <c r="D72" s="49" t="n"/>
      <c r="E72" s="49" t="n"/>
      <c r="F72" s="49" t="n"/>
      <c r="G72" s="49" t="n"/>
      <c r="H72" s="49" t="n"/>
      <c r="I72" s="49" t="n"/>
      <c r="J72" s="49" t="n"/>
      <c r="K72" s="2" t="n"/>
      <c r="L72" s="2" t="n"/>
      <c r="M72" s="2" t="n"/>
    </row>
    <row r="73" ht="14.25" customHeight="1" s="462" thickBot="1">
      <c r="J73" s="2" t="n"/>
      <c r="K73" s="2" t="n"/>
      <c r="L73" s="2" t="n"/>
      <c r="M73" s="2" t="n"/>
    </row>
    <row r="74">
      <c r="C74" s="473" t="inlineStr">
        <is>
          <t>合計額/380</t>
        </is>
      </c>
      <c r="D74" s="358">
        <f>SUM(G74)</f>
        <v/>
      </c>
      <c r="F74" s="360" t="inlineStr">
        <is>
          <t>売り上げ額</t>
        </is>
      </c>
      <c r="G74" s="362">
        <f>SUM(SUM(K4:K40))+SUM(#REF!)</f>
        <v/>
      </c>
      <c r="H74" s="465" t="n"/>
      <c r="I74" s="465" t="n"/>
      <c r="J74" s="467" t="n"/>
      <c r="K74" s="2" t="n"/>
      <c r="L74" s="2" t="n"/>
      <c r="M74" s="2" t="n"/>
    </row>
    <row r="75" ht="14.25" customHeight="1" s="462" thickBot="1">
      <c r="C75" s="474" t="n"/>
      <c r="D75" s="475" t="n"/>
      <c r="F75" s="468" t="n"/>
      <c r="G75" s="476" t="n"/>
      <c r="H75" s="477" t="n"/>
      <c r="I75" s="477" t="n"/>
      <c r="J75" s="469" t="n"/>
      <c r="K75" s="2" t="n"/>
      <c r="L75" s="2" t="n"/>
      <c r="M75" s="2" t="n"/>
    </row>
    <row r="76">
      <c r="C76" s="478" t="inlineStr">
        <is>
          <t>前日までの売上合計額</t>
        </is>
      </c>
      <c r="D76" s="479">
        <f>SUM(B85)</f>
        <v/>
      </c>
      <c r="J76" s="2" t="n"/>
      <c r="K76" s="2" t="n"/>
      <c r="L76" s="2" t="n"/>
      <c r="M76" s="2" t="n"/>
    </row>
    <row r="77" ht="14.25" customHeight="1" s="462" thickBot="1">
      <c r="C77" s="480" t="n"/>
      <c r="D77" s="480" t="n"/>
      <c r="F77" s="420" t="inlineStr">
        <is>
          <t>金井（55)</t>
        </is>
      </c>
      <c r="G77" s="345" t="n"/>
      <c r="H77" s="466" t="n"/>
      <c r="I77" s="130" t="n"/>
      <c r="J77" s="2" t="n"/>
      <c r="K77" s="2" t="n"/>
      <c r="L77" s="2" t="n"/>
      <c r="M77" s="2" t="n"/>
    </row>
    <row r="78" ht="14.25" customHeight="1" s="462" thickTop="1">
      <c r="D78" s="346">
        <f>D74+D76</f>
        <v/>
      </c>
      <c r="F78" s="420" t="inlineStr">
        <is>
          <t>粟津(55)</t>
        </is>
      </c>
      <c r="G78" s="340" t="n"/>
      <c r="H78" s="466" t="n"/>
      <c r="I78" s="131" t="n"/>
      <c r="J78" s="2" t="n"/>
      <c r="K78" s="2" t="n"/>
      <c r="L78" s="2" t="n"/>
      <c r="M78" s="2" t="n"/>
    </row>
    <row r="79">
      <c r="F79" s="420" t="inlineStr">
        <is>
          <t>砂川(50)</t>
        </is>
      </c>
      <c r="G79" s="340" t="n"/>
      <c r="H79" s="466" t="n"/>
      <c r="I79" s="131" t="n"/>
      <c r="J79" s="2" t="n"/>
      <c r="K79" s="2" t="n"/>
      <c r="L79" s="2" t="n"/>
      <c r="M79" s="2" t="n"/>
    </row>
    <row r="80">
      <c r="C80" s="2" t="inlineStr">
        <is>
          <t>高代</t>
        </is>
      </c>
      <c r="F80" s="420" t="inlineStr">
        <is>
          <t>前川(50)</t>
        </is>
      </c>
      <c r="G80" s="340" t="n"/>
      <c r="H80" s="466" t="n"/>
      <c r="I80" s="131" t="n"/>
      <c r="J80" s="2" t="n"/>
      <c r="K80" s="2" t="n"/>
      <c r="L80" s="2" t="n"/>
      <c r="M80" s="2" t="n"/>
    </row>
    <row r="81">
      <c r="C81" s="2" t="inlineStr">
        <is>
          <t>返還代</t>
        </is>
      </c>
      <c r="F81" s="420" t="inlineStr">
        <is>
          <t>佐藤(50)</t>
        </is>
      </c>
      <c r="G81" s="345" t="n"/>
      <c r="H81" s="466" t="n"/>
      <c r="I81" s="130" t="n"/>
      <c r="J81" s="2" t="n"/>
      <c r="K81" s="2" t="n"/>
      <c r="L81" s="2" t="n"/>
      <c r="M81" s="2" t="n"/>
    </row>
    <row r="82">
      <c r="C82" s="2" t="inlineStr">
        <is>
          <t>回収率</t>
        </is>
      </c>
      <c r="D82" s="50">
        <f>D81/D80</f>
        <v/>
      </c>
      <c r="F82" s="420" t="inlineStr">
        <is>
          <t>末次(55)</t>
        </is>
      </c>
      <c r="G82" s="340" t="n"/>
      <c r="H82" s="466" t="n"/>
      <c r="I82" s="131" t="n"/>
      <c r="J82" s="2" t="n"/>
      <c r="K82" s="2" t="n"/>
      <c r="L82" s="2" t="n"/>
      <c r="M82" s="2" t="n"/>
    </row>
    <row r="83">
      <c r="C83" s="2" t="inlineStr">
        <is>
          <t>費</t>
        </is>
      </c>
      <c r="D83" s="2">
        <f>D80-D81</f>
        <v/>
      </c>
      <c r="F83" s="420" t="inlineStr">
        <is>
          <t>筒井(75)</t>
        </is>
      </c>
      <c r="G83" s="340" t="n"/>
      <c r="H83" s="466" t="n"/>
      <c r="I83" s="131" t="n"/>
      <c r="J83" s="2" t="n"/>
      <c r="K83" s="2" t="n"/>
      <c r="L83" s="2" t="n"/>
      <c r="M83" s="2" t="n"/>
    </row>
    <row r="84">
      <c r="F84" s="420" t="inlineStr">
        <is>
          <t>山岸(40)</t>
        </is>
      </c>
      <c r="G84" s="340" t="n"/>
      <c r="H84" s="466" t="n"/>
      <c r="I84" s="131" t="n"/>
      <c r="J84" s="2" t="n"/>
      <c r="K84" s="2" t="n"/>
      <c r="L84" s="2" t="n"/>
      <c r="M84" s="2" t="n"/>
    </row>
    <row r="85" ht="23.25" customHeight="1" s="462">
      <c r="B85" s="71" t="n"/>
      <c r="F85" s="420" t="inlineStr">
        <is>
          <t>多苗(30)</t>
        </is>
      </c>
      <c r="G85" s="340" t="n"/>
      <c r="H85" s="466" t="n"/>
      <c r="I85" s="131" t="n"/>
      <c r="J85" s="2" t="n"/>
      <c r="K85" s="2" t="n"/>
      <c r="L85" s="2" t="inlineStr">
        <is>
          <t> </t>
        </is>
      </c>
      <c r="M85" s="2" t="n"/>
    </row>
    <row r="86">
      <c r="J86" s="2" t="n"/>
      <c r="K86" s="2" t="n"/>
      <c r="L86" s="2" t="n"/>
      <c r="M86" s="2" t="n"/>
    </row>
    <row r="87">
      <c r="J87" s="2" t="n"/>
      <c r="K87" s="2" t="n"/>
      <c r="L87" s="2" t="n"/>
      <c r="M87" s="2" t="n"/>
    </row>
  </sheetData>
  <mergeCells count="58">
    <mergeCell ref="E43:F43"/>
    <mergeCell ref="E50:F50"/>
    <mergeCell ref="D71:J71"/>
    <mergeCell ref="G81:H81"/>
    <mergeCell ref="G77:H77"/>
    <mergeCell ref="Q3:R3"/>
    <mergeCell ref="F74:F75"/>
    <mergeCell ref="D68:J68"/>
    <mergeCell ref="Q28:R28"/>
    <mergeCell ref="H48:J49"/>
    <mergeCell ref="D64:J64"/>
    <mergeCell ref="K45:K46"/>
    <mergeCell ref="Q33:R33"/>
    <mergeCell ref="E48:F48"/>
    <mergeCell ref="D67:J67"/>
    <mergeCell ref="D76:D77"/>
    <mergeCell ref="E44:F44"/>
    <mergeCell ref="G82:H82"/>
    <mergeCell ref="E51:F51"/>
    <mergeCell ref="B2:C2"/>
    <mergeCell ref="Q29:R29"/>
    <mergeCell ref="Q5:R5"/>
    <mergeCell ref="Q38:R38"/>
    <mergeCell ref="D69:J69"/>
    <mergeCell ref="D78:D79"/>
    <mergeCell ref="H43:J44"/>
    <mergeCell ref="G74:J75"/>
    <mergeCell ref="E60:F60"/>
    <mergeCell ref="D63:J63"/>
    <mergeCell ref="G78:H78"/>
    <mergeCell ref="Q4:R4"/>
    <mergeCell ref="C76:C77"/>
    <mergeCell ref="Q31:R31"/>
    <mergeCell ref="K43:K44"/>
    <mergeCell ref="Q40:R40"/>
    <mergeCell ref="E59:F59"/>
    <mergeCell ref="G83:H83"/>
    <mergeCell ref="Q34:R34"/>
    <mergeCell ref="K48:K49"/>
    <mergeCell ref="E46:F46"/>
    <mergeCell ref="D65:J65"/>
    <mergeCell ref="Q6:R6"/>
    <mergeCell ref="E49:F49"/>
    <mergeCell ref="D74:D75"/>
    <mergeCell ref="G80:H80"/>
    <mergeCell ref="E45:F45"/>
    <mergeCell ref="Q9:R9"/>
    <mergeCell ref="G79:H79"/>
    <mergeCell ref="H45:J46"/>
    <mergeCell ref="E57:F57"/>
    <mergeCell ref="D70:J70"/>
    <mergeCell ref="D66:J66"/>
    <mergeCell ref="G85:H85"/>
    <mergeCell ref="C74:C75"/>
    <mergeCell ref="Q32:R32"/>
    <mergeCell ref="G84:H84"/>
    <mergeCell ref="E56:F56"/>
    <mergeCell ref="E47:F47"/>
  </mergeCells>
  <conditionalFormatting sqref="K45:K46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9:L40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38">
    <cfRule type="cellIs" priority="1" operator="greaterThan" dxfId="0">
      <formula>30</formula>
    </cfRule>
  </conditionalFormatting>
  <conditionalFormatting sqref="D5:D48">
    <cfRule type="containsText" priority="7" operator="containsText" dxfId="3" text="～">
      <formula>NOT(ISERROR(SEARCH("～",D5)))</formula>
    </cfRule>
  </conditionalFormatting>
  <pageMargins left="0.7086614173228347" right="0.7086614173228347" top="0.3543307086614174" bottom="0.1574803149606299" header="0.3149606299212598" footer="0.3149606299212598"/>
  <pageSetup orientation="landscape" paperSize="9" scale="53"/>
</worksheet>
</file>

<file path=xl/worksheets/sheet52.xml><?xml version="1.0" encoding="utf-8"?>
<worksheet xmlns="http://schemas.openxmlformats.org/spreadsheetml/2006/main">
  <sheetPr codeName="Sheet51">
    <outlinePr summaryBelow="1" summaryRight="1"/>
    <pageSetUpPr fitToPage="1"/>
  </sheetPr>
  <dimension ref="A1:R75"/>
  <sheetViews>
    <sheetView zoomScaleNormal="100" workbookViewId="0">
      <selection activeCell="F17" sqref="F17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8" customWidth="1" style="2" min="8" max="9"/>
    <col width="8" customWidth="1" style="449" min="10" max="10"/>
    <col width="20.25" customWidth="1" style="77" min="11" max="11"/>
    <col width="8.75" customWidth="1" style="449" min="12" max="12"/>
    <col width="8.75" customWidth="1" style="2" min="13" max="16384"/>
  </cols>
  <sheetData>
    <row r="1"/>
    <row r="2" ht="15" customHeight="1" s="462" thickBot="1">
      <c r="B2" s="493" t="n">
        <v>46201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40.5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4" t="n"/>
      <c r="D13" s="441" t="n"/>
      <c r="E13" s="63" t="n"/>
      <c r="F13" s="441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2" t="n"/>
      <c r="D20" s="63" t="n"/>
      <c r="E20" s="441" t="n"/>
      <c r="F20" s="57" t="n"/>
      <c r="G20" s="66" t="n"/>
      <c r="H20" s="74" t="n"/>
      <c r="I20" s="8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57" t="n"/>
      <c r="G21" s="66" t="n"/>
      <c r="H21" s="74" t="n"/>
      <c r="I21" s="74" t="n"/>
      <c r="J21" s="420" t="n"/>
      <c r="K21" s="73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57" t="n"/>
      <c r="C22" s="420" t="n"/>
      <c r="D22" s="63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57" t="n"/>
      <c r="C23" s="57" t="n"/>
      <c r="D23" s="441" t="n"/>
      <c r="E23" s="441" t="n"/>
      <c r="F23" s="57" t="n"/>
      <c r="G23" s="66" t="n"/>
      <c r="H23" s="74" t="n"/>
      <c r="I23" s="80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441" t="n"/>
      <c r="C24" s="440" t="n"/>
      <c r="D24" s="441" t="n"/>
      <c r="E24" s="440" t="n"/>
      <c r="F24" s="57" t="n"/>
      <c r="G24" s="65" t="n"/>
      <c r="H24" s="74" t="n"/>
      <c r="I24" s="74" t="n"/>
      <c r="J24" s="420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441" t="n"/>
      <c r="C26" s="63" t="n"/>
      <c r="D26" s="440" t="n"/>
      <c r="E26" s="441" t="n"/>
      <c r="F26" s="57" t="n"/>
      <c r="G26" s="59" t="n"/>
      <c r="H26" s="60" t="n"/>
      <c r="I26" s="60" t="n"/>
      <c r="J26" s="57" t="n"/>
      <c r="K26" s="73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441" t="n"/>
      <c r="C27" s="63" t="n"/>
      <c r="D27" s="440" t="n"/>
      <c r="E27" s="441" t="n"/>
      <c r="F27" s="57" t="n"/>
      <c r="G27" s="59" t="n"/>
      <c r="H27" s="60" t="n"/>
      <c r="I27" s="60" t="n"/>
      <c r="J27" s="57" t="n"/>
      <c r="K27" s="73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  <c r="R27" s="449" t="n"/>
    </row>
    <row r="28" ht="27.75" customHeight="1" s="462">
      <c r="A28" s="423">
        <f>IF(B28="","",COUNTA($B$5:B28))</f>
        <v/>
      </c>
      <c r="B28" s="420" t="n"/>
      <c r="C28" s="420" t="n"/>
      <c r="D28" s="420" t="n"/>
      <c r="E28" s="420" t="n"/>
      <c r="F28" s="420" t="n"/>
      <c r="G28" s="69" t="n"/>
      <c r="H28" s="70" t="n"/>
      <c r="I28" s="70" t="n"/>
      <c r="J28" s="420" t="n"/>
      <c r="K28" s="2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</row>
    <row r="29" ht="27" customHeight="1" s="462">
      <c r="B29" s="18" t="n"/>
      <c r="C29" s="18" t="n"/>
      <c r="D29" s="18" t="n"/>
      <c r="E29" s="18" t="n"/>
      <c r="F29" s="18" t="n"/>
      <c r="G29" s="19" t="n"/>
      <c r="H29" s="33" t="n"/>
      <c r="I29" s="18" t="n"/>
      <c r="J29" s="18" t="n"/>
      <c r="K29" s="18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2" t="n"/>
    </row>
    <row r="30" ht="27" customHeight="1" s="462" thickBot="1">
      <c r="J30" s="2" t="n"/>
      <c r="K30" s="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2" t="n"/>
    </row>
    <row r="31" ht="27" customHeight="1" s="462">
      <c r="B31" s="22" t="n"/>
      <c r="C31" s="25" t="n"/>
      <c r="D31" s="25" t="inlineStr">
        <is>
          <t>現在待機場所</t>
        </is>
      </c>
      <c r="E31" s="25" t="inlineStr">
        <is>
          <t>待機予定場所</t>
        </is>
      </c>
      <c r="F31" s="466" t="n"/>
      <c r="H31" s="375" t="inlineStr">
        <is>
          <t>目標距離</t>
        </is>
      </c>
      <c r="I31" s="465" t="n"/>
      <c r="J31" s="467" t="n"/>
      <c r="K31" s="377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2" t="n"/>
    </row>
    <row r="32" ht="27" customHeight="1" s="462" thickBot="1">
      <c r="B32" s="26" t="inlineStr">
        <is>
          <t>2(255)</t>
        </is>
      </c>
      <c r="C32" s="21" t="inlineStr">
        <is>
          <t>山岸</t>
        </is>
      </c>
      <c r="D32" s="34" t="n"/>
      <c r="E32" s="34" t="n"/>
      <c r="F32" s="466" t="n"/>
      <c r="H32" s="468" t="n"/>
      <c r="I32" s="477" t="n"/>
      <c r="J32" s="469" t="n"/>
      <c r="K32" s="470" t="n"/>
      <c r="L32" s="2" t="n"/>
    </row>
    <row r="33">
      <c r="B33" s="26" t="inlineStr">
        <is>
          <t>8(254)</t>
        </is>
      </c>
      <c r="C33" s="21" t="inlineStr">
        <is>
          <t>砂川</t>
        </is>
      </c>
      <c r="D33" s="35" t="n"/>
      <c r="E33" s="35" t="n"/>
      <c r="F33" s="466" t="n"/>
      <c r="H33" s="368" t="inlineStr">
        <is>
          <t>残距離</t>
        </is>
      </c>
      <c r="J33" s="471" t="n"/>
      <c r="K33" s="354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2" t="n"/>
    </row>
    <row r="34" ht="14.25" customHeight="1" s="462" thickBot="1">
      <c r="B34" s="26" t="inlineStr">
        <is>
          <t>9(256)</t>
        </is>
      </c>
      <c r="C34" s="21" t="inlineStr">
        <is>
          <t>前川</t>
        </is>
      </c>
      <c r="D34" s="35" t="n"/>
      <c r="E34" s="35" t="n"/>
      <c r="F34" s="466" t="n"/>
      <c r="H34" s="468" t="n"/>
      <c r="I34" s="477" t="n"/>
      <c r="J34" s="469" t="n"/>
      <c r="K34" s="472" t="n"/>
      <c r="L34" s="2" t="n"/>
    </row>
    <row r="35" ht="14.25" customHeight="1" s="462" thickBot="1">
      <c r="B35" s="26" t="inlineStr">
        <is>
          <t>10(257)</t>
        </is>
      </c>
      <c r="C35" s="35" t="n"/>
      <c r="D35" s="35" t="n"/>
      <c r="E35" s="35" t="n"/>
      <c r="F35" s="466" t="n"/>
      <c r="J35" s="2" t="n"/>
      <c r="K35" s="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2" t="n"/>
    </row>
    <row r="36">
      <c r="B36" s="26" t="inlineStr">
        <is>
          <t>11(258)</t>
        </is>
      </c>
      <c r="C36" s="21" t="inlineStr">
        <is>
          <t>郡司</t>
        </is>
      </c>
      <c r="D36" s="35" t="n"/>
      <c r="E36" s="35" t="n"/>
      <c r="F36" s="466" t="n"/>
      <c r="H36" s="350" t="inlineStr">
        <is>
          <t>依頼件数</t>
        </is>
      </c>
      <c r="I36" s="465" t="n"/>
      <c r="J36" s="467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2" t="n"/>
    </row>
    <row r="37" ht="14.25" customHeight="1" s="462" thickBot="1">
      <c r="B37" s="26" t="inlineStr">
        <is>
          <t>12(736)</t>
        </is>
      </c>
      <c r="C37" s="21" t="n"/>
      <c r="D37" s="35" t="n"/>
      <c r="E37" s="35" t="n"/>
      <c r="F37" s="466" t="n"/>
      <c r="H37" s="468" t="n"/>
      <c r="I37" s="477" t="n"/>
      <c r="J37" s="469" t="n"/>
      <c r="K37" s="472" t="n"/>
      <c r="L37" s="2" t="n"/>
    </row>
    <row r="38" ht="17.25" customHeight="1" s="462">
      <c r="B38" s="26" t="inlineStr">
        <is>
          <t>13(737)</t>
        </is>
      </c>
      <c r="C38" s="21" t="n"/>
      <c r="D38" s="35" t="n"/>
      <c r="E38" s="35" t="n"/>
      <c r="F38" s="466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2" t="n"/>
    </row>
    <row r="39" ht="17.25" customHeight="1" s="462">
      <c r="B39" s="40" t="inlineStr">
        <is>
          <t>14(738)</t>
        </is>
      </c>
      <c r="C39" s="21" t="inlineStr">
        <is>
          <t>辻井</t>
        </is>
      </c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2" t="n"/>
    </row>
    <row r="40" ht="17.25" customHeight="1" s="462">
      <c r="B40" s="41" t="n"/>
      <c r="C40" s="42" t="n"/>
      <c r="D40" s="43" t="n"/>
      <c r="E40" s="44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2" t="n"/>
    </row>
    <row r="41" ht="17.25" customHeight="1" s="462">
      <c r="B41" s="45" t="n">
        <v>7290</v>
      </c>
      <c r="C41" s="21" t="inlineStr">
        <is>
          <t>佐藤</t>
        </is>
      </c>
      <c r="D41" s="35" t="n"/>
      <c r="E41" s="348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2" t="n"/>
    </row>
    <row r="42" ht="16.5" customHeight="1" s="462">
      <c r="B42" s="45" t="n">
        <v>7291</v>
      </c>
      <c r="C42" s="21" t="inlineStr">
        <is>
          <t>末次</t>
        </is>
      </c>
      <c r="D42" s="35" t="n"/>
      <c r="E42" s="348" t="n"/>
      <c r="F42" s="34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2" t="n"/>
    </row>
    <row r="43" ht="16.5" customHeight="1" s="462">
      <c r="B43" s="41" t="n"/>
      <c r="C43" s="42" t="n"/>
      <c r="D43" s="44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2" t="n"/>
    </row>
    <row r="44" ht="8.25" customHeight="1" s="462">
      <c r="B44" s="45" t="n">
        <v>333</v>
      </c>
      <c r="C44" s="21" t="inlineStr">
        <is>
          <t>金井/奥田</t>
        </is>
      </c>
      <c r="D44" s="35" t="n"/>
      <c r="E44" s="484" t="n"/>
      <c r="F44" s="46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</row>
    <row r="45" ht="17.25" customHeight="1" s="462">
      <c r="B45" s="46" t="n">
        <v>666</v>
      </c>
      <c r="C45" s="21" t="inlineStr">
        <is>
          <t>徳留</t>
        </is>
      </c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</row>
    <row r="46" ht="17.25" customHeight="1" s="462">
      <c r="B46" s="46" t="n">
        <v>777</v>
      </c>
      <c r="C46" s="21" t="n"/>
      <c r="D46" s="35" t="n"/>
      <c r="E46" s="348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2" t="n"/>
    </row>
    <row r="47" ht="9" customHeight="1" s="462">
      <c r="B47" s="47" t="n">
        <v>330</v>
      </c>
      <c r="C47" s="21" t="n"/>
      <c r="D47" s="35" t="n"/>
      <c r="E47" s="35" t="n"/>
      <c r="F47" s="466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7" s="2" t="n"/>
    </row>
    <row r="48" ht="16.5" customHeight="1" s="462">
      <c r="B48" s="47" t="n">
        <v>990</v>
      </c>
      <c r="C48" s="21" t="inlineStr">
        <is>
          <t>山原</t>
        </is>
      </c>
      <c r="D48" s="35" t="n"/>
      <c r="E48" s="35" t="n"/>
      <c r="F48" s="466" t="n"/>
      <c r="H48" s="38" t="n"/>
      <c r="I48" s="38" t="n"/>
      <c r="J48" s="38" t="n"/>
      <c r="K48" s="39" t="n"/>
      <c r="L48" s="2" t="n"/>
    </row>
    <row r="49" ht="16.5" customHeight="1" s="462">
      <c r="J49" s="2" t="n"/>
      <c r="K49" s="2" t="n"/>
      <c r="L49" s="2" t="n"/>
    </row>
    <row r="50" ht="16.5" customHeight="1" s="462">
      <c r="C50" s="449" t="inlineStr">
        <is>
          <t>出発→到着</t>
        </is>
      </c>
      <c r="D50" s="420" t="inlineStr">
        <is>
          <t>備考</t>
        </is>
      </c>
      <c r="J50" s="2" t="n"/>
      <c r="K50" s="2" t="n"/>
      <c r="L50" s="2" t="n"/>
    </row>
    <row r="51" ht="16.5" customHeight="1" s="462">
      <c r="B51" s="27" t="inlineStr">
        <is>
          <t>①</t>
        </is>
      </c>
      <c r="C51" s="449" t="inlineStr">
        <is>
          <t>東→西</t>
        </is>
      </c>
      <c r="D51" s="485" t="inlineStr">
        <is>
          <t>①Aチーム優先</t>
        </is>
      </c>
      <c r="E51" s="486" t="n"/>
      <c r="F51" s="486" t="n"/>
      <c r="G51" s="486" t="n"/>
      <c r="H51" s="486" t="n"/>
      <c r="I51" s="486" t="n"/>
      <c r="J51" s="466" t="n"/>
      <c r="K51" s="2" t="n"/>
      <c r="L51" s="2" t="n"/>
    </row>
    <row r="52" ht="16.5" customHeight="1" s="462">
      <c r="B52" s="27" t="inlineStr">
        <is>
          <t>②</t>
        </is>
      </c>
      <c r="C52" s="449" t="inlineStr">
        <is>
          <t>東→東</t>
        </is>
      </c>
      <c r="D52" s="485" t="inlineStr">
        <is>
          <t>②急ぎ案件の場合、道路状況も伝えてあげる。</t>
        </is>
      </c>
      <c r="E52" s="486" t="n"/>
      <c r="F52" s="486" t="n"/>
      <c r="G52" s="486" t="n"/>
      <c r="H52" s="486" t="n"/>
      <c r="I52" s="486" t="n"/>
      <c r="J52" s="466" t="n"/>
      <c r="K52" s="2" t="n"/>
      <c r="L52" s="2" t="n"/>
    </row>
    <row r="53">
      <c r="B53" s="27" t="inlineStr">
        <is>
          <t>③</t>
        </is>
      </c>
      <c r="C53" s="449" t="inlineStr">
        <is>
          <t>西→東</t>
        </is>
      </c>
      <c r="D53" s="485" t="inlineStr">
        <is>
          <t>③各ドライバーの位置からの帰社のタイミング・夕方の配置</t>
        </is>
      </c>
      <c r="E53" s="486" t="n"/>
      <c r="F53" s="486" t="n"/>
      <c r="G53" s="486" t="n"/>
      <c r="H53" s="486" t="n"/>
      <c r="I53" s="486" t="n"/>
      <c r="J53" s="466" t="n"/>
      <c r="K53" s="2" t="n"/>
      <c r="L53" s="2" t="n"/>
    </row>
    <row r="54">
      <c r="B54" s="27" t="inlineStr">
        <is>
          <t>④</t>
        </is>
      </c>
      <c r="C54" s="449" t="inlineStr">
        <is>
          <t>西→西</t>
        </is>
      </c>
      <c r="D54" s="485" t="inlineStr">
        <is>
          <t>④依頼を受ける際の、希望時間と現状の位置。行けるか行けないかの判断をしっかりと。</t>
        </is>
      </c>
      <c r="E54" s="486" t="n"/>
      <c r="F54" s="486" t="n"/>
      <c r="G54" s="486" t="n"/>
      <c r="H54" s="486" t="n"/>
      <c r="I54" s="486" t="n"/>
      <c r="J54" s="466" t="n"/>
      <c r="K54" s="2" t="n"/>
      <c r="L54" s="2" t="n"/>
    </row>
    <row r="55">
      <c r="D55" s="485" t="inlineStr">
        <is>
          <t>⑤軽に乗るか乗らないかの判断に気を付ける。</t>
        </is>
      </c>
      <c r="E55" s="486" t="n"/>
      <c r="F55" s="486" t="n"/>
      <c r="G55" s="486" t="n"/>
      <c r="H55" s="486" t="n"/>
      <c r="I55" s="486" t="n"/>
      <c r="J55" s="466" t="n"/>
      <c r="K55" s="2" t="n"/>
      <c r="L55" s="2" t="n"/>
    </row>
    <row r="56">
      <c r="B56" s="22" t="n"/>
      <c r="C56" s="420" t="inlineStr">
        <is>
          <t>現状配置(予測)</t>
        </is>
      </c>
      <c r="D56" s="485" t="inlineStr">
        <is>
          <t>⑥18/1日、1.8/1人、3件/1人</t>
        </is>
      </c>
      <c r="E56" s="486" t="n"/>
      <c r="F56" s="486" t="n"/>
      <c r="G56" s="486" t="n"/>
      <c r="H56" s="486" t="n"/>
      <c r="I56" s="486" t="n"/>
      <c r="J56" s="466" t="n"/>
      <c r="K56" s="2" t="n"/>
      <c r="L56" s="2" t="n"/>
    </row>
    <row r="57">
      <c r="B57" s="420" t="inlineStr">
        <is>
          <t>西(神戸西・弥栄台)</t>
        </is>
      </c>
      <c r="C57" s="420" t="n"/>
      <c r="D57" s="485" t="inlineStr">
        <is>
          <t>⑦依頼書の見落とし(日付、入替、入出庫、場所）</t>
        </is>
      </c>
      <c r="E57" s="486" t="n"/>
      <c r="F57" s="486" t="n"/>
      <c r="G57" s="486" t="n"/>
      <c r="H57" s="486" t="n"/>
      <c r="I57" s="486" t="n"/>
      <c r="J57" s="466" t="n"/>
      <c r="K57" s="2" t="n"/>
      <c r="L57" s="2" t="n"/>
    </row>
    <row r="58">
      <c r="B58" s="420" t="inlineStr">
        <is>
          <t>真ん中(摩耶・中央)</t>
        </is>
      </c>
      <c r="C58" s="420" t="n"/>
      <c r="D58" s="485" t="inlineStr">
        <is>
          <t>⑧3ｔ車と2ｔ車への振り方(西と東に振り分ける)</t>
        </is>
      </c>
      <c r="E58" s="486" t="n"/>
      <c r="F58" s="486" t="n"/>
      <c r="G58" s="486" t="n"/>
      <c r="H58" s="486" t="n"/>
      <c r="I58" s="486" t="n"/>
      <c r="J58" s="466" t="n"/>
      <c r="K58" s="2" t="n"/>
      <c r="L58" s="2" t="n"/>
    </row>
    <row r="59">
      <c r="B59" s="420" t="inlineStr">
        <is>
          <t>東(尼崎・伊丹・西宮)</t>
        </is>
      </c>
      <c r="C59" s="420" t="n"/>
      <c r="D59" s="485" t="inlineStr">
        <is>
          <t>⑨</t>
        </is>
      </c>
      <c r="E59" s="486" t="n"/>
      <c r="F59" s="486" t="n"/>
      <c r="G59" s="486" t="n"/>
      <c r="H59" s="486" t="n"/>
      <c r="I59" s="486" t="n"/>
      <c r="J59" s="466" t="n"/>
      <c r="K59" s="2" t="n"/>
      <c r="L59" s="2" t="n"/>
    </row>
    <row r="60">
      <c r="B60" s="48" t="inlineStr">
        <is>
          <t>極東(港区・淀屋橋)</t>
        </is>
      </c>
      <c r="C60" s="420" t="n"/>
      <c r="D60" s="49" t="n"/>
      <c r="E60" s="49" t="n"/>
      <c r="F60" s="49" t="n"/>
      <c r="G60" s="49" t="n"/>
      <c r="H60" s="49" t="n"/>
      <c r="I60" s="49" t="n"/>
      <c r="J60" s="49" t="n"/>
      <c r="K60" s="2" t="n"/>
      <c r="L60" s="2" t="n"/>
    </row>
    <row r="61" ht="14.25" customHeight="1" s="462" thickBot="1">
      <c r="J61" s="2" t="n"/>
      <c r="K61" s="2" t="n"/>
      <c r="L61" s="2" t="n"/>
    </row>
    <row r="62">
      <c r="C62" s="473" t="inlineStr">
        <is>
          <t>合計額/380</t>
        </is>
      </c>
      <c r="D62" s="358">
        <f>SUM(G62)</f>
        <v/>
      </c>
      <c r="F62" s="360" t="inlineStr">
        <is>
          <t>売り上げ額</t>
        </is>
      </c>
      <c r="G62" s="362">
        <f>SUM(SUM(K4:K28))+SUM(#REF!)</f>
        <v/>
      </c>
      <c r="H62" s="465" t="n"/>
      <c r="I62" s="465" t="n"/>
      <c r="J62" s="467" t="n"/>
      <c r="K62" s="2" t="n"/>
      <c r="L62" s="2" t="n"/>
    </row>
    <row r="63" ht="14.25" customHeight="1" s="462" thickBot="1">
      <c r="C63" s="474" t="n"/>
      <c r="D63" s="475" t="n"/>
      <c r="F63" s="468" t="n"/>
      <c r="G63" s="476" t="n"/>
      <c r="H63" s="477" t="n"/>
      <c r="I63" s="477" t="n"/>
      <c r="J63" s="469" t="n"/>
      <c r="K63" s="2" t="n"/>
      <c r="L63" s="2" t="n"/>
    </row>
    <row r="64">
      <c r="C64" s="478" t="inlineStr">
        <is>
          <t>前日までの売上合計額</t>
        </is>
      </c>
      <c r="D64" s="479">
        <f>SUM(B73)</f>
        <v/>
      </c>
      <c r="J64" s="2" t="n"/>
      <c r="K64" s="2" t="n"/>
      <c r="L64" s="2" t="n"/>
    </row>
    <row r="65" ht="14.25" customHeight="1" s="462" thickBot="1">
      <c r="C65" s="480" t="n"/>
      <c r="D65" s="480" t="n"/>
      <c r="F65" s="420" t="inlineStr">
        <is>
          <t>金井（55)</t>
        </is>
      </c>
      <c r="G65" s="345" t="n"/>
      <c r="H65" s="466" t="n"/>
      <c r="I65" s="130" t="n"/>
      <c r="J65" s="2" t="n"/>
      <c r="K65" s="2" t="n"/>
      <c r="L65" s="2" t="n"/>
    </row>
    <row r="66" ht="14.25" customHeight="1" s="462" thickTop="1">
      <c r="D66" s="346">
        <f>D62+D64</f>
        <v/>
      </c>
      <c r="F66" s="420" t="inlineStr">
        <is>
          <t>粟津(55)</t>
        </is>
      </c>
      <c r="G66" s="340" t="n"/>
      <c r="H66" s="466" t="n"/>
      <c r="I66" s="131" t="n"/>
      <c r="J66" s="2" t="n"/>
      <c r="K66" s="2" t="n"/>
      <c r="L66" s="2" t="n"/>
    </row>
    <row r="67">
      <c r="F67" s="420" t="inlineStr">
        <is>
          <t>砂川(50)</t>
        </is>
      </c>
      <c r="G67" s="340" t="n"/>
      <c r="H67" s="466" t="n"/>
      <c r="I67" s="131" t="n"/>
      <c r="J67" s="2" t="n"/>
      <c r="K67" s="2" t="n"/>
      <c r="L67" s="2" t="n"/>
    </row>
    <row r="68">
      <c r="C68" s="2" t="inlineStr">
        <is>
          <t>高代</t>
        </is>
      </c>
      <c r="F68" s="420" t="inlineStr">
        <is>
          <t>前川(50)</t>
        </is>
      </c>
      <c r="G68" s="340" t="n"/>
      <c r="H68" s="466" t="n"/>
      <c r="I68" s="131" t="n"/>
      <c r="J68" s="2" t="n"/>
      <c r="K68" s="2" t="n"/>
      <c r="L68" s="2" t="n"/>
    </row>
    <row r="69">
      <c r="C69" s="2" t="inlineStr">
        <is>
          <t>返還代</t>
        </is>
      </c>
      <c r="F69" s="420" t="inlineStr">
        <is>
          <t>佐藤(50)</t>
        </is>
      </c>
      <c r="G69" s="345" t="n"/>
      <c r="H69" s="466" t="n"/>
      <c r="I69" s="130" t="n"/>
      <c r="J69" s="2" t="n"/>
      <c r="K69" s="2" t="n"/>
      <c r="L69" s="2" t="n"/>
    </row>
    <row r="70">
      <c r="C70" s="2" t="inlineStr">
        <is>
          <t>回収率</t>
        </is>
      </c>
      <c r="D70" s="50">
        <f>D69/D68</f>
        <v/>
      </c>
      <c r="F70" s="420" t="inlineStr">
        <is>
          <t>末次(55)</t>
        </is>
      </c>
      <c r="G70" s="340" t="n"/>
      <c r="H70" s="466" t="n"/>
      <c r="I70" s="131" t="n"/>
      <c r="J70" s="2" t="n"/>
      <c r="K70" s="2" t="n"/>
      <c r="L70" s="2" t="n"/>
    </row>
    <row r="71">
      <c r="C71" s="2" t="inlineStr">
        <is>
          <t>費</t>
        </is>
      </c>
      <c r="D71" s="2">
        <f>D68-D69</f>
        <v/>
      </c>
      <c r="F71" s="420" t="inlineStr">
        <is>
          <t>筒井(75)</t>
        </is>
      </c>
      <c r="G71" s="340" t="n"/>
      <c r="H71" s="466" t="n"/>
      <c r="I71" s="131" t="n"/>
      <c r="J71" s="2" t="n"/>
      <c r="K71" s="2" t="n"/>
      <c r="L71" s="2" t="n"/>
    </row>
    <row r="72">
      <c r="F72" s="420" t="inlineStr">
        <is>
          <t>山岸(40)</t>
        </is>
      </c>
      <c r="G72" s="340" t="n"/>
      <c r="H72" s="466" t="n"/>
      <c r="I72" s="131" t="n"/>
      <c r="J72" s="2" t="n"/>
      <c r="K72" s="2" t="n"/>
      <c r="L72" s="2" t="n"/>
    </row>
    <row r="73" ht="17.25" customHeight="1" s="462">
      <c r="B73" s="71" t="n"/>
      <c r="F73" s="420" t="inlineStr">
        <is>
          <t>多苗(30)</t>
        </is>
      </c>
      <c r="G73" s="340" t="n"/>
      <c r="H73" s="466" t="n"/>
      <c r="I73" s="131" t="n"/>
      <c r="J73" s="2" t="n"/>
      <c r="K73" s="2" t="n"/>
      <c r="L73" s="2" t="inlineStr">
        <is>
          <t> </t>
        </is>
      </c>
    </row>
    <row r="74">
      <c r="J74" s="2" t="n"/>
      <c r="K74" s="2" t="n"/>
      <c r="L74" s="2" t="n"/>
    </row>
    <row r="75">
      <c r="J75" s="2" t="n"/>
      <c r="K75" s="2" t="n"/>
      <c r="L75" s="2" t="n"/>
    </row>
    <row r="77" ht="23.25" customHeight="1" s="462"/>
  </sheetData>
  <mergeCells count="55">
    <mergeCell ref="K36:K37"/>
    <mergeCell ref="Q25:R25"/>
    <mergeCell ref="D56:J56"/>
    <mergeCell ref="Q3:R3"/>
    <mergeCell ref="Q21:R21"/>
    <mergeCell ref="K33:K34"/>
    <mergeCell ref="D58:J58"/>
    <mergeCell ref="E33:F33"/>
    <mergeCell ref="Q28:R28"/>
    <mergeCell ref="G71:H71"/>
    <mergeCell ref="Q24:R24"/>
    <mergeCell ref="G67:H67"/>
    <mergeCell ref="D55:J55"/>
    <mergeCell ref="E48:F48"/>
    <mergeCell ref="G70:H70"/>
    <mergeCell ref="E39:F39"/>
    <mergeCell ref="H33:J34"/>
    <mergeCell ref="D51:J51"/>
    <mergeCell ref="E44:F44"/>
    <mergeCell ref="E35:F35"/>
    <mergeCell ref="B2:C2"/>
    <mergeCell ref="E38:F38"/>
    <mergeCell ref="D54:J54"/>
    <mergeCell ref="G62:J63"/>
    <mergeCell ref="D66:D67"/>
    <mergeCell ref="D59:J59"/>
    <mergeCell ref="Q5:R5"/>
    <mergeCell ref="Q20:R20"/>
    <mergeCell ref="Q23:R23"/>
    <mergeCell ref="G66:H66"/>
    <mergeCell ref="K31:K32"/>
    <mergeCell ref="G69:H69"/>
    <mergeCell ref="E31:F31"/>
    <mergeCell ref="Q4:R4"/>
    <mergeCell ref="D62:D63"/>
    <mergeCell ref="E34:F34"/>
    <mergeCell ref="F62:F63"/>
    <mergeCell ref="H31:J32"/>
    <mergeCell ref="G68:H68"/>
    <mergeCell ref="D52:J52"/>
    <mergeCell ref="E45:F45"/>
    <mergeCell ref="D64:D65"/>
    <mergeCell ref="Q22:R22"/>
    <mergeCell ref="E36:F36"/>
    <mergeCell ref="D57:J57"/>
    <mergeCell ref="G65:H65"/>
    <mergeCell ref="H36:J37"/>
    <mergeCell ref="C62:C63"/>
    <mergeCell ref="G73:H73"/>
    <mergeCell ref="E32:F32"/>
    <mergeCell ref="D53:J53"/>
    <mergeCell ref="E37:F37"/>
    <mergeCell ref="C64:C65"/>
    <mergeCell ref="E47:F47"/>
    <mergeCell ref="G72:H72"/>
  </mergeCells>
  <conditionalFormatting sqref="L3:L28">
    <cfRule type="cellIs" priority="3" operator="greaterThan" dxfId="0">
      <formula>30</formula>
    </cfRule>
  </conditionalFormatting>
  <conditionalFormatting sqref="K33:K3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36">
    <cfRule type="containsText" priority="6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47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R89"/>
  <sheetViews>
    <sheetView zoomScaleNormal="100" workbookViewId="0">
      <selection activeCell="D36" sqref="D36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8" customWidth="1" style="2" min="8" max="9"/>
    <col width="8" customWidth="1" style="449" min="10" max="10"/>
    <col width="20.25" customWidth="1" style="77" min="11" max="11"/>
    <col width="8.75" customWidth="1" style="449" min="12" max="12"/>
    <col width="8.75" customWidth="1" style="2" min="13" max="16384"/>
  </cols>
  <sheetData>
    <row r="1"/>
    <row r="2" ht="15" customHeight="1" s="462" thickBot="1">
      <c r="B2" s="493" t="n">
        <v>46201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M5" s="449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441" t="n"/>
      <c r="D6" s="63" t="n"/>
      <c r="E6" s="441" t="n"/>
      <c r="F6" s="57" t="n"/>
      <c r="G6" s="68" t="n"/>
      <c r="H6" s="438" t="n"/>
      <c r="I6" s="295">
        <f>IFERROR(_xlfn.XLOOKUP(H6,案件・ドライバー一覧!$L$3:$L$17,案件・ドライバー一覧!$M$3:$M$17,""),"")</f>
        <v/>
      </c>
      <c r="J6" s="57" t="n"/>
      <c r="K6" s="73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M6" s="449" t="n"/>
      <c r="N6" s="449" t="n"/>
      <c r="O6" s="449" t="n"/>
      <c r="P6" s="449" t="n"/>
      <c r="Q6" s="449" t="n"/>
    </row>
    <row r="7" ht="27" customHeight="1" s="462">
      <c r="A7" s="423">
        <f>IF(B7="","",COUNTA($B$5:B7))</f>
        <v/>
      </c>
      <c r="B7" s="57" t="n"/>
      <c r="C7" s="64" t="n"/>
      <c r="D7" s="63" t="n"/>
      <c r="E7" s="441" t="n"/>
      <c r="F7" s="57" t="n"/>
      <c r="G7" s="59" t="n"/>
      <c r="H7" s="438" t="n"/>
      <c r="I7" s="295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M7" s="449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4" t="n"/>
      <c r="D8" s="441" t="n"/>
      <c r="E8" s="441" t="n"/>
      <c r="F8" s="57" t="n"/>
      <c r="G8" s="59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M8" s="449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438" t="n"/>
      <c r="I9" s="296">
        <f>IFERROR(_xlfn.XLOOKUP(H9,案件・ドライバー一覧!$L$3:$L$17,案件・ドライバー一覧!$M$3:$M$17,""),"")</f>
        <v/>
      </c>
      <c r="J9" s="420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M9" s="449" t="n"/>
      <c r="N9" s="449" t="n"/>
      <c r="O9" s="449" t="n"/>
      <c r="P9" s="449" t="n"/>
      <c r="Q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438" t="n"/>
      <c r="I10" s="295">
        <f>IFERROR(_xlfn.XLOOKUP(H10,案件・ドライバー一覧!$L$3:$L$17,案件・ドライバー一覧!$M$3:$M$17,""),"")</f>
        <v/>
      </c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M10" s="449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M11" s="449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M12" s="449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M13" s="449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M14" s="449" t="n"/>
      <c r="N14" s="449" t="n"/>
      <c r="O14" s="449" t="n"/>
      <c r="P14" s="449" t="n"/>
      <c r="Q14" s="449" t="n"/>
      <c r="R14" s="449" t="n"/>
    </row>
    <row r="15" ht="16.5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M15" s="449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427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M16" s="449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M17" s="449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438" t="n"/>
      <c r="I18" s="427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M18" s="449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441" t="n"/>
      <c r="D19" s="441" t="n"/>
      <c r="E19" s="441" t="n"/>
      <c r="F19" s="57" t="n"/>
      <c r="G19" s="65" t="n"/>
      <c r="H19" s="438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M19" s="449" t="n"/>
      <c r="N19" s="449" t="n"/>
      <c r="O19" s="449" t="n"/>
      <c r="P19" s="449" t="n"/>
      <c r="Q19" s="449" t="n"/>
      <c r="R19" s="449" t="n"/>
    </row>
    <row r="20" ht="28.5" customHeight="1" s="462">
      <c r="A20" s="423">
        <f>IF(B20="","",COUNTA($B$5:B20))</f>
        <v/>
      </c>
      <c r="B20" s="57" t="n"/>
      <c r="C20" s="64" t="n"/>
      <c r="D20" s="441" t="n"/>
      <c r="E20" s="63" t="n"/>
      <c r="F20" s="441" t="n"/>
      <c r="G20" s="59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M20" s="449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63" t="n"/>
      <c r="D21" s="441" t="n"/>
      <c r="E21" s="441" t="n"/>
      <c r="F21" s="57" t="n"/>
      <c r="G21" s="65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M21" s="449" t="n"/>
      <c r="N21" s="449" t="n"/>
      <c r="O21" s="449" t="n"/>
      <c r="P21" s="449" t="n"/>
      <c r="Q21" s="449" t="n"/>
      <c r="R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65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M22" s="449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M23" s="449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M24" s="449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M25" s="449" t="n"/>
      <c r="N25" s="449" t="n"/>
      <c r="O25" s="449" t="n"/>
      <c r="P25" s="449" t="n"/>
      <c r="Q25" s="449" t="n"/>
      <c r="R25" s="449" t="n"/>
    </row>
    <row r="26" ht="15.75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M26" s="449" t="n"/>
      <c r="N26" s="449" t="n"/>
      <c r="O26" s="449" t="n"/>
      <c r="P26" s="449" t="n"/>
      <c r="Q26" s="449" t="n"/>
      <c r="R26" s="449" t="n"/>
    </row>
    <row r="27" ht="36" customHeight="1" s="462">
      <c r="A27" s="423">
        <f>IF(B27="","",COUNTA($B$5:B27))</f>
        <v/>
      </c>
      <c r="B27" s="57" t="n"/>
      <c r="C27" s="62" t="n"/>
      <c r="D27" s="441" t="n"/>
      <c r="E27" s="441" t="n"/>
      <c r="F27" s="57" t="n"/>
      <c r="G27" s="65" t="n"/>
      <c r="H27" s="438" t="n"/>
      <c r="I27" s="427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M27" s="449" t="n"/>
      <c r="N27" s="449" t="n"/>
      <c r="O27" s="449" t="n"/>
      <c r="P27" s="449" t="n"/>
      <c r="Q27" s="449" t="n"/>
      <c r="R27" s="449" t="n"/>
    </row>
    <row r="28" ht="27" customHeight="1" s="462">
      <c r="A28" s="423">
        <f>IF(B28="","",COUNTA($B$5:B28))</f>
        <v/>
      </c>
      <c r="B28" s="57" t="n"/>
      <c r="C28" s="62" t="n"/>
      <c r="D28" s="63" t="n"/>
      <c r="E28" s="441" t="n"/>
      <c r="F28" s="57" t="n"/>
      <c r="G28" s="66" t="n"/>
      <c r="H28" s="438" t="n"/>
      <c r="I28" s="427" t="n"/>
      <c r="J28" s="57" t="n"/>
      <c r="K28" s="73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M28" s="449" t="n"/>
      <c r="N28" s="449" t="n"/>
      <c r="O28" s="449" t="n"/>
      <c r="P28" s="449" t="n"/>
      <c r="Q28" s="449" t="n"/>
    </row>
    <row r="29" ht="27" customHeight="1" s="462">
      <c r="A29" s="423">
        <f>IF(B29="","",COUNTA($B$5:B29))</f>
        <v/>
      </c>
      <c r="B29" s="57" t="n"/>
      <c r="C29" s="63" t="n"/>
      <c r="D29" s="64" t="n"/>
      <c r="E29" s="420" t="n"/>
      <c r="F29" s="57" t="n"/>
      <c r="G29" s="66" t="n"/>
      <c r="H29" s="438" t="n"/>
      <c r="I29" s="438" t="n"/>
      <c r="J29" s="420" t="n"/>
      <c r="K29" s="73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M29" s="449" t="n"/>
      <c r="N29" s="449" t="n"/>
      <c r="O29" s="449" t="n"/>
      <c r="P29" s="449" t="n"/>
      <c r="Q29" s="449" t="n"/>
    </row>
    <row r="30" ht="27" customHeight="1" s="462">
      <c r="A30" s="423">
        <f>IF(B30="","",COUNTA($B$5:B30))</f>
        <v/>
      </c>
      <c r="B30" s="57" t="n"/>
      <c r="C30" s="63" t="n"/>
      <c r="D30" s="64" t="n"/>
      <c r="E30" s="57" t="n"/>
      <c r="F30" s="57" t="n"/>
      <c r="G30" s="66" t="n"/>
      <c r="H30" s="438" t="n"/>
      <c r="I30" s="427" t="n"/>
      <c r="J30" s="57" t="n"/>
      <c r="K30" s="7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M30" s="449" t="n"/>
      <c r="N30" s="449" t="n"/>
      <c r="O30" s="449" t="n"/>
      <c r="P30" s="449" t="n"/>
      <c r="Q30" s="449" t="n"/>
      <c r="R30" s="449" t="n"/>
    </row>
    <row r="31" ht="36" customHeight="1" s="462">
      <c r="A31" s="423">
        <f>IF(B31="","",COUNTA($B$5:B31))</f>
        <v/>
      </c>
      <c r="B31" s="57" t="n"/>
      <c r="C31" s="62" t="n"/>
      <c r="D31" s="63" t="n"/>
      <c r="E31" s="441" t="n"/>
      <c r="F31" s="57" t="n"/>
      <c r="G31" s="65" t="n"/>
      <c r="H31" s="438" t="n"/>
      <c r="I31" s="427" t="n"/>
      <c r="J31" s="57" t="n"/>
      <c r="K31" s="7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M31" s="449" t="n"/>
      <c r="N31" s="449" t="n"/>
      <c r="O31" s="449" t="n"/>
      <c r="P31" s="449" t="n"/>
      <c r="Q31" s="449" t="n"/>
    </row>
    <row r="32" ht="27" customHeight="1" s="462">
      <c r="A32" s="423">
        <f>IF(B32="","",COUNTA($B$5:B32))</f>
        <v/>
      </c>
      <c r="B32" s="57" t="n"/>
      <c r="C32" s="57" t="n"/>
      <c r="D32" s="441" t="n"/>
      <c r="E32" s="441" t="n"/>
      <c r="F32" s="57" t="n"/>
      <c r="G32" s="66" t="n"/>
      <c r="H32" s="438" t="n"/>
      <c r="I32" s="427" t="n"/>
      <c r="J32" s="57" t="n"/>
      <c r="K32" s="72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M32" s="449" t="n"/>
      <c r="N32" s="449" t="n"/>
      <c r="O32" s="449" t="n"/>
      <c r="P32" s="449" t="n"/>
      <c r="Q32" s="449" t="n"/>
    </row>
    <row r="33" ht="27.75" customHeight="1" s="462">
      <c r="A33" s="423">
        <f>IF(B33="","",COUNTA($B$5:B33))</f>
        <v/>
      </c>
      <c r="B33" s="441" t="n"/>
      <c r="C33" s="440" t="n"/>
      <c r="D33" s="441" t="n"/>
      <c r="E33" s="440" t="n"/>
      <c r="F33" s="57" t="n"/>
      <c r="G33" s="65" t="n"/>
      <c r="H33" s="438" t="n"/>
      <c r="I33" s="438" t="n"/>
      <c r="J33" s="420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M33" s="449" t="n"/>
      <c r="N33" s="449" t="n"/>
      <c r="O33" s="449" t="n"/>
      <c r="P33" s="449" t="n"/>
      <c r="Q33" s="449" t="n"/>
    </row>
    <row r="34" ht="27" customHeight="1" s="462">
      <c r="A34" s="423">
        <f>IF(B34="","",COUNTA($B$5:B34))</f>
        <v/>
      </c>
      <c r="B34" s="441" t="n"/>
      <c r="C34" s="63" t="n"/>
      <c r="D34" s="440" t="n"/>
      <c r="E34" s="441" t="n"/>
      <c r="F34" s="57" t="n"/>
      <c r="G34" s="59" t="n"/>
      <c r="H34" s="438" t="n"/>
      <c r="I34" s="427" t="n"/>
      <c r="J34" s="57" t="n"/>
      <c r="K34" s="73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M34" s="449" t="n"/>
      <c r="N34" s="449" t="n"/>
      <c r="O34" s="449" t="n"/>
      <c r="P34" s="449" t="n"/>
      <c r="Q34" s="449" t="n"/>
    </row>
    <row r="35" ht="27" customHeight="1" s="462">
      <c r="A35" s="423" t="n"/>
      <c r="B35" s="441" t="n"/>
      <c r="C35" s="63" t="n"/>
      <c r="D35" s="440" t="n"/>
      <c r="E35" s="441" t="n"/>
      <c r="F35" s="57" t="n"/>
      <c r="G35" s="59" t="n"/>
      <c r="H35" s="438" t="n"/>
      <c r="I35" s="427" t="n"/>
      <c r="J35" s="57" t="n"/>
      <c r="K35" s="73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M35" s="449" t="n"/>
      <c r="N35" s="449" t="n"/>
      <c r="O35" s="449" t="n"/>
      <c r="P35" s="449" t="n"/>
      <c r="Q35" s="449" t="n"/>
      <c r="R35" s="449" t="n"/>
    </row>
    <row r="36" ht="27" customHeight="1" s="462">
      <c r="A36" s="423">
        <f>IF(B36="","",COUNTA($B$5:B36))</f>
        <v/>
      </c>
      <c r="B36" s="441" t="n"/>
      <c r="C36" s="63" t="n"/>
      <c r="D36" s="440" t="n"/>
      <c r="E36" s="441" t="n"/>
      <c r="F36" s="57" t="n"/>
      <c r="G36" s="59" t="n"/>
      <c r="H36" s="438" t="n"/>
      <c r="I36" s="427" t="n"/>
      <c r="J36" s="57" t="n"/>
      <c r="K36" s="73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M36" s="449" t="n"/>
      <c r="N36" s="449" t="n"/>
      <c r="O36" s="449" t="n"/>
      <c r="P36" s="449" t="n"/>
      <c r="Q36" s="449" t="n"/>
      <c r="R36" s="449" t="n"/>
    </row>
    <row r="37" ht="27" customHeight="1" s="462">
      <c r="A37" s="423">
        <f>IF(B37="","",COUNTA($B$5:B37))</f>
        <v/>
      </c>
      <c r="B37" s="441" t="n"/>
      <c r="C37" s="63" t="n"/>
      <c r="D37" s="440" t="n"/>
      <c r="E37" s="441" t="n"/>
      <c r="F37" s="57" t="n"/>
      <c r="G37" s="59" t="n"/>
      <c r="H37" s="74" t="n"/>
      <c r="I37" s="80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M37" s="449" t="n"/>
      <c r="N37" s="449" t="n"/>
      <c r="O37" s="449" t="n"/>
      <c r="P37" s="449" t="n"/>
      <c r="Q37" s="449" t="n"/>
      <c r="R37" s="449" t="n"/>
    </row>
    <row r="38" ht="27" customHeight="1" s="462">
      <c r="A38" s="423">
        <f>IF(B38="","",COUNTA($B$5:B38))</f>
        <v/>
      </c>
      <c r="B38" s="420" t="n"/>
      <c r="C38" s="420" t="n"/>
      <c r="D38" s="420" t="n"/>
      <c r="E38" s="420" t="n"/>
      <c r="F38" s="420" t="n"/>
      <c r="G38" s="69" t="n"/>
      <c r="H38" s="74" t="n"/>
      <c r="I38" s="74" t="n"/>
      <c r="J38" s="420" t="n"/>
      <c r="K38" s="22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M38" s="449" t="n"/>
      <c r="N38" s="449" t="n"/>
      <c r="O38" s="449" t="n"/>
      <c r="P38" s="449" t="n"/>
      <c r="Q38" s="449" t="n"/>
    </row>
    <row r="39" ht="27" customHeight="1" s="462">
      <c r="A39" s="423">
        <f>IF(B39="","",COUNTA($B$5:B39))</f>
        <v/>
      </c>
      <c r="B39" s="441" t="n"/>
      <c r="C39" s="63" t="n"/>
      <c r="D39" s="440" t="n"/>
      <c r="E39" s="441" t="n"/>
      <c r="F39" s="57" t="n"/>
      <c r="G39" s="59" t="n"/>
      <c r="H39" s="60" t="n"/>
      <c r="I39" s="60" t="n"/>
      <c r="J39" s="57" t="n"/>
      <c r="K39" s="73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M39" s="449" t="n"/>
      <c r="N39" s="449" t="n"/>
      <c r="O39" s="449" t="n"/>
      <c r="P39" s="449" t="n"/>
      <c r="Q39" s="449" t="n"/>
    </row>
    <row r="40" ht="27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60" t="n"/>
      <c r="I40" s="60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M40" s="449" t="n"/>
      <c r="N40" s="449" t="n"/>
      <c r="O40" s="449" t="n"/>
      <c r="P40" s="449" t="n"/>
      <c r="Q40" s="449" t="n"/>
      <c r="R40" s="449" t="n"/>
    </row>
    <row r="41" ht="27" customHeight="1" s="462">
      <c r="A41" s="423">
        <f>IF(B41="","",COUNTA($B$5:B41))</f>
        <v/>
      </c>
      <c r="B41" s="441" t="n"/>
      <c r="C41" s="63" t="n"/>
      <c r="D41" s="440" t="n"/>
      <c r="E41" s="441" t="n"/>
      <c r="F41" s="57" t="n"/>
      <c r="G41" s="59" t="n"/>
      <c r="H41" s="60" t="n"/>
      <c r="I41" s="60" t="n"/>
      <c r="J41" s="57" t="n"/>
      <c r="K41" s="73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M41" s="449" t="n"/>
      <c r="N41" s="449" t="n"/>
      <c r="O41" s="449" t="n"/>
      <c r="P41" s="449" t="n"/>
      <c r="Q41" s="449" t="n"/>
      <c r="R41" s="449" t="n"/>
    </row>
    <row r="42" ht="27" customHeight="1" s="462">
      <c r="A42" s="423">
        <f>IF(B42="","",COUNTA($B$5:B42))</f>
        <v/>
      </c>
      <c r="B42" s="420" t="n"/>
      <c r="C42" s="420" t="n"/>
      <c r="D42" s="420" t="n"/>
      <c r="E42" s="420" t="n"/>
      <c r="F42" s="420" t="n"/>
      <c r="G42" s="69" t="n"/>
      <c r="H42" s="70" t="n"/>
      <c r="I42" s="70" t="n"/>
      <c r="J42" s="420" t="n"/>
      <c r="K42" s="22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61" t="n"/>
      <c r="M42" s="449" t="n"/>
      <c r="N42" s="449" t="n"/>
      <c r="O42" s="449" t="n"/>
      <c r="P42" s="449" t="n"/>
      <c r="Q42" s="449" t="n"/>
    </row>
    <row r="43">
      <c r="B43" s="18" t="n"/>
      <c r="C43" s="18" t="n"/>
      <c r="D43" s="18" t="n"/>
      <c r="E43" s="18" t="n"/>
      <c r="F43" s="18" t="n"/>
      <c r="G43" s="19" t="n"/>
      <c r="H43" s="33" t="n"/>
      <c r="I43" s="18" t="n"/>
      <c r="J43" s="18" t="n"/>
      <c r="K43" s="18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2" t="n"/>
    </row>
    <row r="44" ht="14.25" customHeight="1" s="462" thickBot="1">
      <c r="J44" s="2" t="n"/>
      <c r="K44" s="2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</row>
    <row r="45">
      <c r="B45" s="22" t="n"/>
      <c r="C45" s="25" t="n"/>
      <c r="D45" s="25" t="inlineStr">
        <is>
          <t>現在待機場所</t>
        </is>
      </c>
      <c r="E45" s="25" t="inlineStr">
        <is>
          <t>待機予定場所</t>
        </is>
      </c>
      <c r="F45" s="466" t="n"/>
      <c r="H45" s="375" t="inlineStr">
        <is>
          <t>目標距離</t>
        </is>
      </c>
      <c r="I45" s="465" t="n"/>
      <c r="J45" s="467" t="n"/>
      <c r="K45" s="377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</row>
    <row r="46" ht="14.25" customHeight="1" s="462" thickBot="1">
      <c r="B46" s="26" t="inlineStr">
        <is>
          <t>2(255)</t>
        </is>
      </c>
      <c r="C46" s="21" t="inlineStr">
        <is>
          <t>山岸</t>
        </is>
      </c>
      <c r="D46" s="34" t="n"/>
      <c r="E46" s="34" t="n"/>
      <c r="F46" s="466" t="n"/>
      <c r="H46" s="468" t="n"/>
      <c r="I46" s="477" t="n"/>
      <c r="J46" s="469" t="n"/>
      <c r="K46" s="470" t="n"/>
      <c r="L46" s="2" t="n"/>
    </row>
    <row r="47">
      <c r="B47" s="26" t="inlineStr">
        <is>
          <t>8(254)</t>
        </is>
      </c>
      <c r="C47" s="21" t="inlineStr">
        <is>
          <t>砂川</t>
        </is>
      </c>
      <c r="D47" s="35" t="n"/>
      <c r="E47" s="35" t="n"/>
      <c r="F47" s="466" t="n"/>
      <c r="H47" s="368" t="inlineStr">
        <is>
          <t>残距離</t>
        </is>
      </c>
      <c r="J47" s="471" t="n"/>
      <c r="K47" s="354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7" s="2" t="n"/>
    </row>
    <row r="48" ht="14.25" customHeight="1" s="462" thickBot="1">
      <c r="B48" s="26" t="inlineStr">
        <is>
          <t>9(256)</t>
        </is>
      </c>
      <c r="C48" s="21" t="inlineStr">
        <is>
          <t>前川</t>
        </is>
      </c>
      <c r="D48" s="35" t="n"/>
      <c r="E48" s="35" t="n"/>
      <c r="F48" s="466" t="n"/>
      <c r="H48" s="468" t="n"/>
      <c r="I48" s="477" t="n"/>
      <c r="J48" s="469" t="n"/>
      <c r="K48" s="472" t="n"/>
      <c r="L48" s="2" t="n"/>
    </row>
    <row r="49" ht="14.25" customHeight="1" s="462" thickBot="1">
      <c r="B49" s="26" t="inlineStr">
        <is>
          <t>10(257)</t>
        </is>
      </c>
      <c r="C49" s="35" t="n"/>
      <c r="D49" s="35" t="n"/>
      <c r="E49" s="35" t="n"/>
      <c r="F49" s="466" t="n"/>
      <c r="J49" s="2" t="n"/>
      <c r="K49" s="2" t="n"/>
      <c r="L49" s="2" t="n"/>
    </row>
    <row r="50">
      <c r="B50" s="26" t="inlineStr">
        <is>
          <t>11(258)</t>
        </is>
      </c>
      <c r="C50" s="21" t="inlineStr">
        <is>
          <t>郡司</t>
        </is>
      </c>
      <c r="D50" s="35" t="n"/>
      <c r="E50" s="35" t="n"/>
      <c r="F50" s="466" t="n"/>
      <c r="H50" s="350" t="inlineStr">
        <is>
          <t>依頼件数</t>
        </is>
      </c>
      <c r="I50" s="465" t="n"/>
      <c r="J50" s="467" t="n"/>
      <c r="K50" s="354">
        <f>SUM(P3:P42)+SUM(SUM(#REF!))</f>
        <v/>
      </c>
      <c r="L50" s="2" t="n"/>
    </row>
    <row r="51" ht="14.25" customHeight="1" s="462" thickBot="1">
      <c r="B51" s="26" t="inlineStr">
        <is>
          <t>12(736)</t>
        </is>
      </c>
      <c r="C51" s="21" t="n"/>
      <c r="D51" s="35" t="n"/>
      <c r="E51" s="35" t="n"/>
      <c r="F51" s="466" t="n"/>
      <c r="H51" s="468" t="n"/>
      <c r="I51" s="477" t="n"/>
      <c r="J51" s="469" t="n"/>
      <c r="K51" s="472" t="n"/>
      <c r="L51" s="2" t="n"/>
    </row>
    <row r="52" ht="16.5" customHeight="1" s="462">
      <c r="B52" s="26" t="inlineStr">
        <is>
          <t>13(737)</t>
        </is>
      </c>
      <c r="C52" s="21" t="n"/>
      <c r="D52" s="35" t="n"/>
      <c r="E52" s="35" t="n"/>
      <c r="F52" s="466" t="n"/>
      <c r="H52" s="38" t="n"/>
      <c r="I52" s="38" t="n"/>
      <c r="J52" s="38" t="n"/>
      <c r="K52" s="39" t="n"/>
      <c r="L52" s="2" t="n"/>
    </row>
    <row r="53" ht="16.5" customHeight="1" s="462">
      <c r="B53" s="40" t="inlineStr">
        <is>
          <t>14(738)</t>
        </is>
      </c>
      <c r="C53" s="21" t="inlineStr">
        <is>
          <t>辻井</t>
        </is>
      </c>
      <c r="D53" s="35" t="n"/>
      <c r="E53" s="35" t="n"/>
      <c r="F53" s="466" t="n"/>
      <c r="H53" s="38" t="n"/>
      <c r="I53" s="38" t="n"/>
      <c r="J53" s="38" t="n"/>
      <c r="K53" s="39" t="n"/>
      <c r="L53" s="2" t="n"/>
    </row>
    <row r="54" ht="8.25" customHeight="1" s="462">
      <c r="B54" s="41" t="n"/>
      <c r="C54" s="42" t="n"/>
      <c r="D54" s="43" t="n"/>
      <c r="E54" s="44" t="n"/>
      <c r="F54" s="349" t="n"/>
      <c r="H54" s="38" t="n"/>
      <c r="I54" s="38" t="n"/>
      <c r="J54" s="38" t="n"/>
      <c r="K54" s="39" t="n"/>
      <c r="L54" s="2" t="n"/>
    </row>
    <row r="55" ht="17.25" customHeight="1" s="462">
      <c r="B55" s="45" t="n">
        <v>7290</v>
      </c>
      <c r="C55" s="21" t="inlineStr">
        <is>
          <t>佐藤</t>
        </is>
      </c>
      <c r="D55" s="35" t="n"/>
      <c r="E55" s="348" t="n"/>
      <c r="F55" s="349" t="n"/>
      <c r="H55" s="38" t="n"/>
      <c r="I55" s="38" t="n"/>
      <c r="J55" s="38" t="n"/>
      <c r="K55" s="39" t="n"/>
      <c r="L55" s="2" t="n"/>
    </row>
    <row r="56" ht="17.25" customHeight="1" s="462">
      <c r="B56" s="45" t="n">
        <v>7291</v>
      </c>
      <c r="C56" s="21" t="inlineStr">
        <is>
          <t>末次</t>
        </is>
      </c>
      <c r="D56" s="35" t="n"/>
      <c r="E56" s="348" t="n"/>
      <c r="F56" s="349" t="n"/>
      <c r="H56" s="38" t="n"/>
      <c r="I56" s="38" t="n"/>
      <c r="J56" s="38" t="n"/>
      <c r="K56" s="39" t="n"/>
      <c r="L56" s="2" t="n"/>
    </row>
    <row r="57" ht="9" customHeight="1" s="462">
      <c r="B57" s="41" t="n"/>
      <c r="C57" s="42" t="n"/>
      <c r="D57" s="44" t="n"/>
      <c r="E57" s="44" t="n"/>
      <c r="F57" s="349" t="n"/>
      <c r="H57" s="38" t="n"/>
      <c r="I57" s="38" t="n"/>
      <c r="J57" s="38" t="n"/>
      <c r="K57" s="39" t="n"/>
      <c r="L57" s="2" t="n"/>
    </row>
    <row r="58" ht="16.5" customHeight="1" s="462">
      <c r="B58" s="45" t="n">
        <v>333</v>
      </c>
      <c r="C58" s="21" t="inlineStr">
        <is>
          <t>金井/奥田</t>
        </is>
      </c>
      <c r="D58" s="35" t="n"/>
      <c r="E58" s="484" t="n"/>
      <c r="F58" s="469" t="n"/>
      <c r="H58" s="38" t="n"/>
      <c r="I58" s="38" t="n"/>
      <c r="J58" s="38" t="n"/>
      <c r="K58" s="39" t="n"/>
      <c r="L58" s="2" t="n"/>
    </row>
    <row r="59" ht="16.5" customHeight="1" s="462">
      <c r="B59" s="46" t="n">
        <v>666</v>
      </c>
      <c r="C59" s="21" t="inlineStr">
        <is>
          <t>徳留</t>
        </is>
      </c>
      <c r="D59" s="35" t="n"/>
      <c r="E59" s="35" t="n"/>
      <c r="F59" s="466" t="n"/>
      <c r="H59" s="38" t="n"/>
      <c r="I59" s="38" t="n"/>
      <c r="J59" s="38" t="n"/>
      <c r="K59" s="39" t="n"/>
      <c r="L59" s="2" t="n"/>
    </row>
    <row r="60" ht="16.5" customHeight="1" s="462">
      <c r="B60" s="46" t="n">
        <v>777</v>
      </c>
      <c r="C60" s="21" t="n"/>
      <c r="D60" s="35" t="n"/>
      <c r="E60" s="348" t="n"/>
      <c r="F60" s="349" t="n"/>
      <c r="H60" s="38" t="n"/>
      <c r="I60" s="38" t="n"/>
      <c r="J60" s="38" t="n"/>
      <c r="K60" s="39" t="n"/>
      <c r="L60" s="2" t="n"/>
    </row>
    <row r="61" ht="16.5" customHeight="1" s="462">
      <c r="B61" s="47" t="n">
        <v>330</v>
      </c>
      <c r="C61" s="21" t="n"/>
      <c r="D61" s="35" t="n"/>
      <c r="E61" s="35" t="n"/>
      <c r="F61" s="466" t="n"/>
      <c r="H61" s="38" t="n"/>
      <c r="I61" s="38" t="n"/>
      <c r="J61" s="38" t="n"/>
      <c r="K61" s="39" t="n"/>
      <c r="L61" s="2" t="n"/>
    </row>
    <row r="62" ht="16.5" customHeight="1" s="462">
      <c r="B62" s="47" t="n">
        <v>990</v>
      </c>
      <c r="C62" s="21" t="inlineStr">
        <is>
          <t>山原</t>
        </is>
      </c>
      <c r="D62" s="35" t="n"/>
      <c r="E62" s="35" t="n"/>
      <c r="F62" s="466" t="n"/>
      <c r="H62" s="38" t="n"/>
      <c r="I62" s="38" t="n"/>
      <c r="J62" s="38" t="n"/>
      <c r="K62" s="39" t="n"/>
      <c r="L62" s="2" t="n"/>
    </row>
    <row r="63">
      <c r="J63" s="2" t="n"/>
      <c r="K63" s="2" t="n"/>
      <c r="L63" s="2" t="n"/>
    </row>
    <row r="64">
      <c r="C64" s="449" t="inlineStr">
        <is>
          <t>出発→到着</t>
        </is>
      </c>
      <c r="D64" s="420" t="inlineStr">
        <is>
          <t>備考</t>
        </is>
      </c>
      <c r="J64" s="2" t="n"/>
      <c r="K64" s="2" t="n"/>
      <c r="L64" s="2" t="n"/>
    </row>
    <row r="65">
      <c r="B65" s="27" t="inlineStr">
        <is>
          <t>①</t>
        </is>
      </c>
      <c r="C65" s="449" t="inlineStr">
        <is>
          <t>東→西</t>
        </is>
      </c>
      <c r="D65" s="485" t="inlineStr">
        <is>
          <t>①Aチーム優先</t>
        </is>
      </c>
      <c r="E65" s="486" t="n"/>
      <c r="F65" s="486" t="n"/>
      <c r="G65" s="486" t="n"/>
      <c r="H65" s="486" t="n"/>
      <c r="I65" s="486" t="n"/>
      <c r="J65" s="466" t="n"/>
      <c r="K65" s="2" t="n"/>
      <c r="L65" s="2" t="n"/>
    </row>
    <row r="66">
      <c r="B66" s="27" t="inlineStr">
        <is>
          <t>②</t>
        </is>
      </c>
      <c r="C66" s="449" t="inlineStr">
        <is>
          <t>東→東</t>
        </is>
      </c>
      <c r="D66" s="485" t="inlineStr">
        <is>
          <t>②急ぎ案件の場合、道路状況も伝えてあげる。</t>
        </is>
      </c>
      <c r="E66" s="486" t="n"/>
      <c r="F66" s="486" t="n"/>
      <c r="G66" s="486" t="n"/>
      <c r="H66" s="486" t="n"/>
      <c r="I66" s="486" t="n"/>
      <c r="J66" s="466" t="n"/>
      <c r="K66" s="2" t="n"/>
      <c r="L66" s="2" t="n"/>
    </row>
    <row r="67">
      <c r="B67" s="27" t="inlineStr">
        <is>
          <t>③</t>
        </is>
      </c>
      <c r="C67" s="449" t="inlineStr">
        <is>
          <t>西→東</t>
        </is>
      </c>
      <c r="D67" s="485" t="inlineStr">
        <is>
          <t>③各ドライバーの位置からの帰社のタイミング・夕方の配置</t>
        </is>
      </c>
      <c r="E67" s="486" t="n"/>
      <c r="F67" s="486" t="n"/>
      <c r="G67" s="486" t="n"/>
      <c r="H67" s="486" t="n"/>
      <c r="I67" s="486" t="n"/>
      <c r="J67" s="466" t="n"/>
      <c r="K67" s="2" t="n"/>
      <c r="L67" s="2" t="n"/>
    </row>
    <row r="68">
      <c r="B68" s="27" t="inlineStr">
        <is>
          <t>④</t>
        </is>
      </c>
      <c r="C68" s="449" t="inlineStr">
        <is>
          <t>西→西</t>
        </is>
      </c>
      <c r="D68" s="485" t="inlineStr">
        <is>
          <t>④依頼を受ける際の、希望時間と現状の位置。行けるか行けないかの判断をしっかりと。</t>
        </is>
      </c>
      <c r="E68" s="486" t="n"/>
      <c r="F68" s="486" t="n"/>
      <c r="G68" s="486" t="n"/>
      <c r="H68" s="486" t="n"/>
      <c r="I68" s="486" t="n"/>
      <c r="J68" s="466" t="n"/>
      <c r="K68" s="2" t="n"/>
      <c r="L68" s="2" t="n"/>
    </row>
    <row r="69">
      <c r="D69" s="485" t="inlineStr">
        <is>
          <t>⑤軽に乗るか乗らないかの判断に気を付ける。</t>
        </is>
      </c>
      <c r="E69" s="486" t="n"/>
      <c r="F69" s="486" t="n"/>
      <c r="G69" s="486" t="n"/>
      <c r="H69" s="486" t="n"/>
      <c r="I69" s="486" t="n"/>
      <c r="J69" s="466" t="n"/>
      <c r="K69" s="2" t="n"/>
      <c r="L69" s="2" t="n"/>
    </row>
    <row r="70">
      <c r="B70" s="22" t="n"/>
      <c r="C70" s="420" t="inlineStr">
        <is>
          <t>現状配置(予測)</t>
        </is>
      </c>
      <c r="D70" s="485" t="inlineStr">
        <is>
          <t>⑥18/1日、1.8/1人、3件/1人</t>
        </is>
      </c>
      <c r="E70" s="486" t="n"/>
      <c r="F70" s="486" t="n"/>
      <c r="G70" s="486" t="n"/>
      <c r="H70" s="486" t="n"/>
      <c r="I70" s="486" t="n"/>
      <c r="J70" s="466" t="n"/>
      <c r="K70" s="2" t="n"/>
      <c r="L70" s="2" t="n"/>
    </row>
    <row r="71">
      <c r="B71" s="420" t="inlineStr">
        <is>
          <t>西(神戸西・弥栄台)</t>
        </is>
      </c>
      <c r="C71" s="420" t="n"/>
      <c r="D71" s="485" t="inlineStr">
        <is>
          <t>⑦依頼書の見落とし(日付、入替、入出庫、場所）</t>
        </is>
      </c>
      <c r="E71" s="486" t="n"/>
      <c r="F71" s="486" t="n"/>
      <c r="G71" s="486" t="n"/>
      <c r="H71" s="486" t="n"/>
      <c r="I71" s="486" t="n"/>
      <c r="J71" s="466" t="n"/>
      <c r="K71" s="2" t="n"/>
      <c r="L71" s="2" t="n"/>
    </row>
    <row r="72">
      <c r="B72" s="420" t="inlineStr">
        <is>
          <t>真ん中(摩耶・中央)</t>
        </is>
      </c>
      <c r="C72" s="420" t="n"/>
      <c r="D72" s="485" t="inlineStr">
        <is>
          <t>⑧3ｔ車と2ｔ車への振り方(西と東に振り分ける)</t>
        </is>
      </c>
      <c r="E72" s="486" t="n"/>
      <c r="F72" s="486" t="n"/>
      <c r="G72" s="486" t="n"/>
      <c r="H72" s="486" t="n"/>
      <c r="I72" s="486" t="n"/>
      <c r="J72" s="466" t="n"/>
      <c r="K72" s="2" t="n"/>
      <c r="L72" s="2" t="n"/>
    </row>
    <row r="73">
      <c r="B73" s="420" t="inlineStr">
        <is>
          <t>東(尼崎・伊丹・西宮)</t>
        </is>
      </c>
      <c r="C73" s="420" t="n"/>
      <c r="D73" s="485" t="inlineStr">
        <is>
          <t>⑨</t>
        </is>
      </c>
      <c r="E73" s="486" t="n"/>
      <c r="F73" s="486" t="n"/>
      <c r="G73" s="486" t="n"/>
      <c r="H73" s="486" t="n"/>
      <c r="I73" s="486" t="n"/>
      <c r="J73" s="466" t="n"/>
      <c r="K73" s="2" t="n"/>
      <c r="L73" s="2" t="n"/>
    </row>
    <row r="74">
      <c r="B74" s="48" t="inlineStr">
        <is>
          <t>極東(港区・淀屋橋)</t>
        </is>
      </c>
      <c r="C74" s="420" t="n"/>
      <c r="D74" s="49" t="n"/>
      <c r="E74" s="49" t="n"/>
      <c r="F74" s="49" t="n"/>
      <c r="G74" s="49" t="n"/>
      <c r="H74" s="49" t="n"/>
      <c r="I74" s="49" t="n"/>
      <c r="J74" s="49" t="n"/>
      <c r="K74" s="2" t="n"/>
      <c r="L74" s="2" t="n"/>
    </row>
    <row r="75" ht="14.25" customHeight="1" s="462" thickBot="1">
      <c r="J75" s="2" t="n"/>
      <c r="K75" s="2" t="n"/>
      <c r="L75" s="2" t="n"/>
    </row>
    <row r="76">
      <c r="C76" s="473" t="inlineStr">
        <is>
          <t>合計額/380</t>
        </is>
      </c>
      <c r="D76" s="358">
        <f>SUM(G76)</f>
        <v/>
      </c>
      <c r="F76" s="360" t="inlineStr">
        <is>
          <t>売り上げ額</t>
        </is>
      </c>
      <c r="G76" s="362">
        <f>SUM(SUM(K4:K42))+SUM(#REF!)</f>
        <v/>
      </c>
      <c r="H76" s="465" t="n"/>
      <c r="I76" s="465" t="n"/>
      <c r="J76" s="467" t="n"/>
      <c r="K76" s="2" t="n"/>
      <c r="L76" s="2" t="n"/>
    </row>
    <row r="77" ht="14.25" customHeight="1" s="462" thickBot="1">
      <c r="C77" s="474" t="n"/>
      <c r="D77" s="475" t="n"/>
      <c r="F77" s="468" t="n"/>
      <c r="G77" s="476" t="n"/>
      <c r="H77" s="477" t="n"/>
      <c r="I77" s="477" t="n"/>
      <c r="J77" s="469" t="n"/>
      <c r="K77" s="2" t="n"/>
      <c r="L77" s="2" t="n"/>
    </row>
    <row r="78">
      <c r="C78" s="478" t="inlineStr">
        <is>
          <t>前日までの売上合計額</t>
        </is>
      </c>
      <c r="D78" s="479">
        <f>SUM(B87)</f>
        <v/>
      </c>
      <c r="J78" s="2" t="n"/>
      <c r="K78" s="2" t="n"/>
      <c r="L78" s="2" t="n"/>
    </row>
    <row r="79" ht="14.25" customHeight="1" s="462" thickBot="1">
      <c r="C79" s="480" t="n"/>
      <c r="D79" s="480" t="n"/>
      <c r="F79" s="420" t="inlineStr">
        <is>
          <t>金井（55)</t>
        </is>
      </c>
      <c r="G79" s="345" t="n"/>
      <c r="H79" s="466" t="n"/>
      <c r="I79" s="130" t="n"/>
      <c r="J79" s="2" t="n"/>
      <c r="K79" s="2" t="n"/>
      <c r="L79" s="2" t="n"/>
    </row>
    <row r="80" ht="14.25" customHeight="1" s="462" thickTop="1">
      <c r="D80" s="346">
        <f>D76+D78</f>
        <v/>
      </c>
      <c r="F80" s="420" t="inlineStr">
        <is>
          <t>粟津(55)</t>
        </is>
      </c>
      <c r="G80" s="340" t="n"/>
      <c r="H80" s="466" t="n"/>
      <c r="I80" s="131" t="n"/>
      <c r="J80" s="2" t="n"/>
      <c r="K80" s="2" t="n"/>
      <c r="L80" s="2" t="n"/>
    </row>
    <row r="81">
      <c r="F81" s="420" t="inlineStr">
        <is>
          <t>砂川(50)</t>
        </is>
      </c>
      <c r="G81" s="340" t="n"/>
      <c r="H81" s="466" t="n"/>
      <c r="I81" s="131" t="n"/>
      <c r="J81" s="2" t="n"/>
      <c r="K81" s="2" t="n"/>
      <c r="L81" s="2" t="n"/>
    </row>
    <row r="82">
      <c r="C82" s="2" t="inlineStr">
        <is>
          <t>高代</t>
        </is>
      </c>
      <c r="F82" s="420" t="inlineStr">
        <is>
          <t>前川(50)</t>
        </is>
      </c>
      <c r="G82" s="340" t="n"/>
      <c r="H82" s="466" t="n"/>
      <c r="I82" s="131" t="n"/>
      <c r="J82" s="2" t="n"/>
      <c r="K82" s="2" t="n"/>
      <c r="L82" s="2" t="n"/>
    </row>
    <row r="83">
      <c r="C83" s="2" t="inlineStr">
        <is>
          <t>返還代</t>
        </is>
      </c>
      <c r="F83" s="420" t="inlineStr">
        <is>
          <t>佐藤(50)</t>
        </is>
      </c>
      <c r="G83" s="345" t="n"/>
      <c r="H83" s="466" t="n"/>
      <c r="I83" s="130" t="n"/>
      <c r="J83" s="2" t="n"/>
      <c r="K83" s="2" t="n"/>
      <c r="L83" s="2" t="n"/>
    </row>
    <row r="84">
      <c r="C84" s="2" t="inlineStr">
        <is>
          <t>回収率</t>
        </is>
      </c>
      <c r="D84" s="50">
        <f>D83/D82</f>
        <v/>
      </c>
      <c r="F84" s="420" t="inlineStr">
        <is>
          <t>末次(55)</t>
        </is>
      </c>
      <c r="G84" s="340" t="n"/>
      <c r="H84" s="466" t="n"/>
      <c r="I84" s="131" t="n"/>
      <c r="J84" s="2" t="n"/>
      <c r="K84" s="2" t="n"/>
      <c r="L84" s="2" t="n"/>
    </row>
    <row r="85">
      <c r="C85" s="2" t="inlineStr">
        <is>
          <t>費</t>
        </is>
      </c>
      <c r="D85" s="2">
        <f>D82-D83</f>
        <v/>
      </c>
      <c r="F85" s="420" t="inlineStr">
        <is>
          <t>筒井(75)</t>
        </is>
      </c>
      <c r="G85" s="340" t="n"/>
      <c r="H85" s="466" t="n"/>
      <c r="I85" s="131" t="n"/>
      <c r="J85" s="2" t="n"/>
      <c r="K85" s="2" t="n"/>
      <c r="L85" s="2" t="n"/>
    </row>
    <row r="86">
      <c r="F86" s="420" t="inlineStr">
        <is>
          <t>山岸(40)</t>
        </is>
      </c>
      <c r="G86" s="340" t="n"/>
      <c r="H86" s="466" t="n"/>
      <c r="I86" s="131" t="n"/>
      <c r="J86" s="2" t="n"/>
      <c r="K86" s="2" t="n"/>
      <c r="L86" s="2" t="n"/>
    </row>
    <row r="87" ht="23.25" customHeight="1" s="462">
      <c r="B87" s="71" t="n"/>
      <c r="F87" s="420" t="inlineStr">
        <is>
          <t>多苗(30)</t>
        </is>
      </c>
      <c r="G87" s="340" t="n"/>
      <c r="H87" s="466" t="n"/>
      <c r="I87" s="131" t="n"/>
      <c r="J87" s="2" t="n"/>
      <c r="K87" s="2" t="n"/>
      <c r="L87" s="2" t="inlineStr">
        <is>
          <t> </t>
        </is>
      </c>
    </row>
    <row r="88">
      <c r="J88" s="2" t="n"/>
      <c r="K88" s="2" t="n"/>
      <c r="L88" s="2" t="n"/>
    </row>
    <row r="89">
      <c r="J89" s="2" t="n"/>
      <c r="K89" s="2" t="n"/>
      <c r="L89" s="2" t="n"/>
    </row>
  </sheetData>
  <mergeCells count="59">
    <mergeCell ref="D71:J71"/>
    <mergeCell ref="E50:F50"/>
    <mergeCell ref="G81:H81"/>
    <mergeCell ref="Q3:R3"/>
    <mergeCell ref="G86:H86"/>
    <mergeCell ref="E62:F62"/>
    <mergeCell ref="D68:J68"/>
    <mergeCell ref="Q28:R28"/>
    <mergeCell ref="Q42:R42"/>
    <mergeCell ref="D73:J73"/>
    <mergeCell ref="E52:F52"/>
    <mergeCell ref="D80:D81"/>
    <mergeCell ref="Q33:R33"/>
    <mergeCell ref="K45:K46"/>
    <mergeCell ref="E48:F48"/>
    <mergeCell ref="D67:J67"/>
    <mergeCell ref="Q39:R39"/>
    <mergeCell ref="D76:D77"/>
    <mergeCell ref="K50:K51"/>
    <mergeCell ref="F76:F77"/>
    <mergeCell ref="G82:H82"/>
    <mergeCell ref="E51:F51"/>
    <mergeCell ref="B2:C2"/>
    <mergeCell ref="Q29:R29"/>
    <mergeCell ref="Q5:R5"/>
    <mergeCell ref="K47:K48"/>
    <mergeCell ref="Q38:R38"/>
    <mergeCell ref="D69:J69"/>
    <mergeCell ref="D78:D79"/>
    <mergeCell ref="H50:J51"/>
    <mergeCell ref="Q4:R4"/>
    <mergeCell ref="C76:C77"/>
    <mergeCell ref="Q31:R31"/>
    <mergeCell ref="G87:H87"/>
    <mergeCell ref="Q34:R34"/>
    <mergeCell ref="G83:H83"/>
    <mergeCell ref="E59:F59"/>
    <mergeCell ref="G76:J77"/>
    <mergeCell ref="E46:F46"/>
    <mergeCell ref="D65:J65"/>
    <mergeCell ref="Q6:R6"/>
    <mergeCell ref="E49:F49"/>
    <mergeCell ref="G80:H80"/>
    <mergeCell ref="E45:F45"/>
    <mergeCell ref="C78:C79"/>
    <mergeCell ref="Q9:R9"/>
    <mergeCell ref="E61:F61"/>
    <mergeCell ref="G79:H79"/>
    <mergeCell ref="H45:J46"/>
    <mergeCell ref="D70:J70"/>
    <mergeCell ref="D66:J66"/>
    <mergeCell ref="G85:H85"/>
    <mergeCell ref="Q32:R32"/>
    <mergeCell ref="H47:J48"/>
    <mergeCell ref="G84:H84"/>
    <mergeCell ref="D72:J72"/>
    <mergeCell ref="E53:F53"/>
    <mergeCell ref="E58:F58"/>
    <mergeCell ref="E47:F47"/>
  </mergeCells>
  <conditionalFormatting sqref="K47:K48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9:L42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38">
    <cfRule type="cellIs" priority="1" operator="greaterThan" dxfId="0">
      <formula>30</formula>
    </cfRule>
  </conditionalFormatting>
  <conditionalFormatting sqref="D5:D50">
    <cfRule type="containsText" priority="7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47"/>
</worksheet>
</file>

<file path=xl/worksheets/sheet54.xml><?xml version="1.0" encoding="utf-8"?>
<worksheet xmlns="http://schemas.openxmlformats.org/spreadsheetml/2006/main">
  <sheetPr codeName="Sheet53">
    <outlinePr summaryBelow="1" summaryRight="1"/>
    <pageSetUpPr fitToPage="1"/>
  </sheetPr>
  <dimension ref="A1:R75"/>
  <sheetViews>
    <sheetView zoomScaleNormal="100" workbookViewId="0">
      <selection activeCell="E11" sqref="E11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449" min="10" max="10"/>
    <col outlineLevel="1" width="20.25" customWidth="1" style="452" min="11" max="11"/>
    <col width="8.75" customWidth="1" style="449" min="12" max="13"/>
    <col width="8.75" customWidth="1" style="2" min="14" max="16384"/>
  </cols>
  <sheetData>
    <row r="1"/>
    <row r="2" ht="15" customHeight="1" s="462" thickBot="1">
      <c r="B2" s="493" t="n">
        <v>46202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4" t="n"/>
      <c r="D13" s="441" t="n"/>
      <c r="E13" s="63" t="n"/>
      <c r="F13" s="441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2" t="n"/>
      <c r="D20" s="63" t="n"/>
      <c r="E20" s="441" t="n"/>
      <c r="F20" s="57" t="n"/>
      <c r="G20" s="66" t="n"/>
      <c r="H20" s="74" t="n"/>
      <c r="I20" s="8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57" t="n"/>
      <c r="G21" s="66" t="n"/>
      <c r="H21" s="74" t="n"/>
      <c r="I21" s="74" t="n"/>
      <c r="J21" s="420" t="n"/>
      <c r="K21" s="73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57" t="n"/>
      <c r="C22" s="420" t="n"/>
      <c r="D22" s="63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57" t="n"/>
      <c r="C23" s="57" t="n"/>
      <c r="D23" s="441" t="n"/>
      <c r="E23" s="441" t="n"/>
      <c r="F23" s="57" t="n"/>
      <c r="G23" s="66" t="n"/>
      <c r="H23" s="74" t="n"/>
      <c r="I23" s="80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441" t="n"/>
      <c r="C24" s="440" t="n"/>
      <c r="D24" s="441" t="n"/>
      <c r="E24" s="440" t="n"/>
      <c r="F24" s="57" t="n"/>
      <c r="G24" s="65" t="n"/>
      <c r="H24" s="74" t="n"/>
      <c r="I24" s="74" t="n"/>
      <c r="J24" s="420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441" t="n"/>
      <c r="C26" s="63" t="n"/>
      <c r="D26" s="440" t="n"/>
      <c r="E26" s="441" t="n"/>
      <c r="F26" s="57" t="n"/>
      <c r="G26" s="59" t="n"/>
      <c r="H26" s="60" t="n"/>
      <c r="I26" s="60" t="n"/>
      <c r="J26" s="57" t="n"/>
      <c r="K26" s="73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441" t="n"/>
      <c r="C27" s="63" t="n"/>
      <c r="D27" s="440" t="n"/>
      <c r="E27" s="441" t="n"/>
      <c r="F27" s="57" t="n"/>
      <c r="G27" s="59" t="n"/>
      <c r="H27" s="60" t="n"/>
      <c r="I27" s="60" t="n"/>
      <c r="J27" s="57" t="n"/>
      <c r="K27" s="73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27.75" customHeight="1" s="462">
      <c r="A28" s="423">
        <f>IF(B28="","",COUNTA($B$5:B28))</f>
        <v/>
      </c>
      <c r="B28" s="420" t="n"/>
      <c r="C28" s="420" t="n"/>
      <c r="D28" s="420" t="n"/>
      <c r="E28" s="420" t="n"/>
      <c r="F28" s="420" t="n"/>
      <c r="G28" s="69" t="n"/>
      <c r="H28" s="70" t="n"/>
      <c r="I28" s="70" t="n"/>
      <c r="J28" s="420" t="n"/>
      <c r="K28" s="2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</row>
    <row r="29" ht="27" customHeight="1" s="462">
      <c r="B29" s="18" t="n"/>
      <c r="C29" s="18" t="n"/>
      <c r="D29" s="18" t="n"/>
      <c r="E29" s="18" t="n"/>
      <c r="F29" s="18" t="n"/>
      <c r="G29" s="19" t="n"/>
      <c r="H29" s="33" t="n"/>
      <c r="I29" s="18" t="n"/>
      <c r="J29" s="18" t="n"/>
      <c r="K29" s="18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2" t="n"/>
      <c r="M29" s="2" t="n"/>
    </row>
    <row r="30" ht="27" customHeight="1" s="462" thickBot="1">
      <c r="J30" s="2" t="n"/>
      <c r="K30" s="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2" t="n"/>
      <c r="M30" s="2" t="n"/>
    </row>
    <row r="31" ht="27" customHeight="1" s="462">
      <c r="B31" s="22" t="n"/>
      <c r="C31" s="25" t="n"/>
      <c r="D31" s="25" t="inlineStr">
        <is>
          <t>現在待機場所</t>
        </is>
      </c>
      <c r="E31" s="25" t="inlineStr">
        <is>
          <t>待機予定場所</t>
        </is>
      </c>
      <c r="F31" s="466" t="n"/>
      <c r="H31" s="375" t="inlineStr">
        <is>
          <t>目標距離</t>
        </is>
      </c>
      <c r="I31" s="465" t="n"/>
      <c r="J31" s="467" t="n"/>
      <c r="K31" s="377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2" t="n"/>
      <c r="M31" s="2" t="n"/>
    </row>
    <row r="32" ht="27" customHeight="1" s="462" thickBot="1">
      <c r="B32" s="26" t="inlineStr">
        <is>
          <t>2(255)</t>
        </is>
      </c>
      <c r="C32" s="21" t="inlineStr">
        <is>
          <t>山岸</t>
        </is>
      </c>
      <c r="D32" s="34" t="n"/>
      <c r="E32" s="34" t="n"/>
      <c r="F32" s="466" t="n"/>
      <c r="H32" s="468" t="n"/>
      <c r="I32" s="477" t="n"/>
      <c r="J32" s="469" t="n"/>
      <c r="K32" s="470" t="n"/>
      <c r="L32" s="2" t="n"/>
      <c r="M32" s="2" t="n"/>
    </row>
    <row r="33">
      <c r="B33" s="26" t="inlineStr">
        <is>
          <t>8(254)</t>
        </is>
      </c>
      <c r="C33" s="21" t="inlineStr">
        <is>
          <t>砂川</t>
        </is>
      </c>
      <c r="D33" s="35" t="n"/>
      <c r="E33" s="35" t="n"/>
      <c r="F33" s="466" t="n"/>
      <c r="H33" s="368" t="inlineStr">
        <is>
          <t>残距離</t>
        </is>
      </c>
      <c r="J33" s="471" t="n"/>
      <c r="K33" s="354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2" t="n"/>
      <c r="M33" s="2" t="n"/>
    </row>
    <row r="34" ht="14.25" customHeight="1" s="462" thickBot="1">
      <c r="B34" s="26" t="inlineStr">
        <is>
          <t>9(256)</t>
        </is>
      </c>
      <c r="C34" s="21" t="inlineStr">
        <is>
          <t>前川</t>
        </is>
      </c>
      <c r="D34" s="35" t="n"/>
      <c r="E34" s="35" t="n"/>
      <c r="F34" s="466" t="n"/>
      <c r="H34" s="468" t="n"/>
      <c r="I34" s="477" t="n"/>
      <c r="J34" s="469" t="n"/>
      <c r="K34" s="472" t="n"/>
      <c r="L34" s="2" t="n"/>
      <c r="M34" s="2" t="n"/>
    </row>
    <row r="35" ht="14.25" customHeight="1" s="462" thickBot="1">
      <c r="B35" s="26" t="inlineStr">
        <is>
          <t>10(257)</t>
        </is>
      </c>
      <c r="C35" s="35" t="n"/>
      <c r="D35" s="35" t="n"/>
      <c r="E35" s="35" t="n"/>
      <c r="F35" s="466" t="n"/>
      <c r="J35" s="2" t="n"/>
      <c r="K35" s="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2" t="n"/>
      <c r="M35" s="2" t="n"/>
    </row>
    <row r="36">
      <c r="B36" s="26" t="inlineStr">
        <is>
          <t>11(258)</t>
        </is>
      </c>
      <c r="C36" s="21" t="inlineStr">
        <is>
          <t>郡司</t>
        </is>
      </c>
      <c r="D36" s="35" t="n"/>
      <c r="E36" s="35" t="n"/>
      <c r="F36" s="466" t="n"/>
      <c r="H36" s="350" t="inlineStr">
        <is>
          <t>依頼件数</t>
        </is>
      </c>
      <c r="I36" s="465" t="n"/>
      <c r="J36" s="467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2" t="n"/>
      <c r="M36" s="2" t="n"/>
    </row>
    <row r="37" ht="14.25" customHeight="1" s="462" thickBot="1">
      <c r="B37" s="26" t="inlineStr">
        <is>
          <t>12(736)</t>
        </is>
      </c>
      <c r="C37" s="21" t="n"/>
      <c r="D37" s="35" t="n"/>
      <c r="E37" s="35" t="n"/>
      <c r="F37" s="466" t="n"/>
      <c r="H37" s="468" t="n"/>
      <c r="I37" s="477" t="n"/>
      <c r="J37" s="469" t="n"/>
      <c r="K37" s="472" t="n"/>
      <c r="L37" s="2" t="n"/>
      <c r="M37" s="2" t="n"/>
    </row>
    <row r="38" ht="17.25" customHeight="1" s="462">
      <c r="B38" s="26" t="inlineStr">
        <is>
          <t>13(737)</t>
        </is>
      </c>
      <c r="C38" s="21" t="n"/>
      <c r="D38" s="35" t="n"/>
      <c r="E38" s="35" t="n"/>
      <c r="F38" s="466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2" t="n"/>
      <c r="M38" s="2" t="n"/>
    </row>
    <row r="39" ht="17.25" customHeight="1" s="462">
      <c r="B39" s="40" t="inlineStr">
        <is>
          <t>14(738)</t>
        </is>
      </c>
      <c r="C39" s="21" t="inlineStr">
        <is>
          <t>辻井</t>
        </is>
      </c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2" t="n"/>
      <c r="M39" s="2" t="n"/>
    </row>
    <row r="40" ht="17.25" customHeight="1" s="462">
      <c r="B40" s="41" t="n"/>
      <c r="C40" s="42" t="n"/>
      <c r="D40" s="43" t="n"/>
      <c r="E40" s="44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2" t="n"/>
      <c r="M40" s="2" t="n"/>
    </row>
    <row r="41" ht="17.25" customHeight="1" s="462">
      <c r="B41" s="45" t="n">
        <v>7290</v>
      </c>
      <c r="C41" s="21" t="inlineStr">
        <is>
          <t>佐藤</t>
        </is>
      </c>
      <c r="D41" s="35" t="n"/>
      <c r="E41" s="348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2" t="n"/>
      <c r="M41" s="2" t="n"/>
    </row>
    <row r="42" ht="16.5" customHeight="1" s="462">
      <c r="B42" s="45" t="n">
        <v>7291</v>
      </c>
      <c r="C42" s="21" t="inlineStr">
        <is>
          <t>末次</t>
        </is>
      </c>
      <c r="D42" s="35" t="n"/>
      <c r="E42" s="348" t="n"/>
      <c r="F42" s="34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2" t="n"/>
      <c r="M42" s="2" t="n"/>
    </row>
    <row r="43" ht="16.5" customHeight="1" s="462">
      <c r="B43" s="41" t="n"/>
      <c r="C43" s="42" t="n"/>
      <c r="D43" s="44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2" t="n"/>
      <c r="M43" s="2" t="n"/>
    </row>
    <row r="44" ht="8.25" customHeight="1" s="462">
      <c r="B44" s="45" t="n">
        <v>333</v>
      </c>
      <c r="C44" s="21" t="inlineStr">
        <is>
          <t>金井/奥田</t>
        </is>
      </c>
      <c r="D44" s="35" t="n"/>
      <c r="E44" s="484" t="n"/>
      <c r="F44" s="46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2" t="n"/>
      <c r="M44" s="2" t="n"/>
    </row>
    <row r="45" ht="17.25" customHeight="1" s="462">
      <c r="B45" s="46" t="n">
        <v>666</v>
      </c>
      <c r="C45" s="21" t="inlineStr">
        <is>
          <t>徳留</t>
        </is>
      </c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2" t="n"/>
      <c r="M45" s="2" t="n"/>
    </row>
    <row r="46" ht="17.25" customHeight="1" s="462">
      <c r="B46" s="46" t="n">
        <v>777</v>
      </c>
      <c r="C46" s="21" t="n"/>
      <c r="D46" s="35" t="n"/>
      <c r="E46" s="348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2" t="n"/>
      <c r="M46" s="2" t="n"/>
    </row>
    <row r="47" ht="9" customHeight="1" s="462">
      <c r="B47" s="47" t="n">
        <v>330</v>
      </c>
      <c r="C47" s="21" t="n"/>
      <c r="D47" s="35" t="n"/>
      <c r="E47" s="35" t="n"/>
      <c r="F47" s="466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7" s="2" t="n"/>
      <c r="M47" s="2" t="n"/>
    </row>
    <row r="48" ht="16.5" customHeight="1" s="462">
      <c r="B48" s="47" t="n">
        <v>990</v>
      </c>
      <c r="C48" s="21" t="inlineStr">
        <is>
          <t>山原</t>
        </is>
      </c>
      <c r="D48" s="35" t="n"/>
      <c r="E48" s="35" t="n"/>
      <c r="F48" s="466" t="n"/>
      <c r="H48" s="38" t="n"/>
      <c r="I48" s="38" t="n"/>
      <c r="J48" s="38" t="n"/>
      <c r="K48" s="39" t="n"/>
      <c r="L48" s="2" t="n"/>
      <c r="M48" s="2" t="n"/>
    </row>
    <row r="49" ht="16.5" customHeight="1" s="462">
      <c r="J49" s="2" t="n"/>
      <c r="K49" s="2" t="n"/>
      <c r="L49" s="2" t="n"/>
      <c r="M49" s="2" t="n"/>
    </row>
    <row r="50" ht="16.5" customHeight="1" s="462">
      <c r="C50" s="449" t="inlineStr">
        <is>
          <t>出発→到着</t>
        </is>
      </c>
      <c r="D50" s="420" t="inlineStr">
        <is>
          <t>備考</t>
        </is>
      </c>
      <c r="J50" s="2" t="n"/>
      <c r="K50" s="2" t="n"/>
      <c r="L50" s="2" t="n"/>
      <c r="M50" s="2" t="n"/>
    </row>
    <row r="51" ht="16.5" customHeight="1" s="462">
      <c r="B51" s="27" t="inlineStr">
        <is>
          <t>①</t>
        </is>
      </c>
      <c r="C51" s="449" t="inlineStr">
        <is>
          <t>東→西</t>
        </is>
      </c>
      <c r="D51" s="485" t="inlineStr">
        <is>
          <t>①Aチーム優先</t>
        </is>
      </c>
      <c r="E51" s="486" t="n"/>
      <c r="F51" s="486" t="n"/>
      <c r="G51" s="486" t="n"/>
      <c r="H51" s="486" t="n"/>
      <c r="I51" s="486" t="n"/>
      <c r="J51" s="466" t="n"/>
      <c r="K51" s="2" t="n"/>
      <c r="L51" s="2" t="n"/>
      <c r="M51" s="2" t="n"/>
    </row>
    <row r="52" ht="16.5" customHeight="1" s="462">
      <c r="B52" s="27" t="inlineStr">
        <is>
          <t>②</t>
        </is>
      </c>
      <c r="C52" s="449" t="inlineStr">
        <is>
          <t>東→東</t>
        </is>
      </c>
      <c r="D52" s="485" t="inlineStr">
        <is>
          <t>②急ぎ案件の場合、道路状況も伝えてあげる。</t>
        </is>
      </c>
      <c r="E52" s="486" t="n"/>
      <c r="F52" s="486" t="n"/>
      <c r="G52" s="486" t="n"/>
      <c r="H52" s="486" t="n"/>
      <c r="I52" s="486" t="n"/>
      <c r="J52" s="466" t="n"/>
      <c r="K52" s="2" t="n"/>
      <c r="L52" s="2" t="n"/>
      <c r="M52" s="2" t="n"/>
    </row>
    <row r="53">
      <c r="B53" s="27" t="inlineStr">
        <is>
          <t>③</t>
        </is>
      </c>
      <c r="C53" s="449" t="inlineStr">
        <is>
          <t>西→東</t>
        </is>
      </c>
      <c r="D53" s="485" t="inlineStr">
        <is>
          <t>③各ドライバーの位置からの帰社のタイミング・夕方の配置</t>
        </is>
      </c>
      <c r="E53" s="486" t="n"/>
      <c r="F53" s="486" t="n"/>
      <c r="G53" s="486" t="n"/>
      <c r="H53" s="486" t="n"/>
      <c r="I53" s="486" t="n"/>
      <c r="J53" s="466" t="n"/>
      <c r="K53" s="2" t="n"/>
      <c r="L53" s="2" t="n"/>
      <c r="M53" s="2" t="n"/>
    </row>
    <row r="54">
      <c r="B54" s="27" t="inlineStr">
        <is>
          <t>④</t>
        </is>
      </c>
      <c r="C54" s="449" t="inlineStr">
        <is>
          <t>西→西</t>
        </is>
      </c>
      <c r="D54" s="485" t="inlineStr">
        <is>
          <t>④依頼を受ける際の、希望時間と現状の位置。行けるか行けないかの判断をしっかりと。</t>
        </is>
      </c>
      <c r="E54" s="486" t="n"/>
      <c r="F54" s="486" t="n"/>
      <c r="G54" s="486" t="n"/>
      <c r="H54" s="486" t="n"/>
      <c r="I54" s="486" t="n"/>
      <c r="J54" s="466" t="n"/>
      <c r="K54" s="2" t="n"/>
      <c r="L54" s="2" t="n"/>
      <c r="M54" s="2" t="n"/>
    </row>
    <row r="55">
      <c r="D55" s="485" t="inlineStr">
        <is>
          <t>⑤軽に乗るか乗らないかの判断に気を付ける。</t>
        </is>
      </c>
      <c r="E55" s="486" t="n"/>
      <c r="F55" s="486" t="n"/>
      <c r="G55" s="486" t="n"/>
      <c r="H55" s="486" t="n"/>
      <c r="I55" s="486" t="n"/>
      <c r="J55" s="466" t="n"/>
      <c r="K55" s="2" t="n"/>
      <c r="L55" s="2" t="n"/>
      <c r="M55" s="2" t="n"/>
    </row>
    <row r="56">
      <c r="B56" s="22" t="n"/>
      <c r="C56" s="420" t="inlineStr">
        <is>
          <t>現状配置(予測)</t>
        </is>
      </c>
      <c r="D56" s="485" t="inlineStr">
        <is>
          <t>⑥18/1日、1.8/1人、3件/1人</t>
        </is>
      </c>
      <c r="E56" s="486" t="n"/>
      <c r="F56" s="486" t="n"/>
      <c r="G56" s="486" t="n"/>
      <c r="H56" s="486" t="n"/>
      <c r="I56" s="486" t="n"/>
      <c r="J56" s="466" t="n"/>
      <c r="K56" s="2" t="n"/>
      <c r="L56" s="2" t="n"/>
      <c r="M56" s="2" t="n"/>
    </row>
    <row r="57">
      <c r="B57" s="420" t="inlineStr">
        <is>
          <t>西(神戸西・弥栄台)</t>
        </is>
      </c>
      <c r="C57" s="420" t="n"/>
      <c r="D57" s="485" t="inlineStr">
        <is>
          <t>⑦依頼書の見落とし(日付、入替、入出庫、場所）</t>
        </is>
      </c>
      <c r="E57" s="486" t="n"/>
      <c r="F57" s="486" t="n"/>
      <c r="G57" s="486" t="n"/>
      <c r="H57" s="486" t="n"/>
      <c r="I57" s="486" t="n"/>
      <c r="J57" s="466" t="n"/>
      <c r="K57" s="2" t="n"/>
      <c r="L57" s="2" t="n"/>
      <c r="M57" s="2" t="n"/>
    </row>
    <row r="58">
      <c r="B58" s="420" t="inlineStr">
        <is>
          <t>真ん中(摩耶・中央)</t>
        </is>
      </c>
      <c r="C58" s="420" t="n"/>
      <c r="D58" s="485" t="inlineStr">
        <is>
          <t>⑧3ｔ車と2ｔ車への振り方(西と東に振り分ける)</t>
        </is>
      </c>
      <c r="E58" s="486" t="n"/>
      <c r="F58" s="486" t="n"/>
      <c r="G58" s="486" t="n"/>
      <c r="H58" s="486" t="n"/>
      <c r="I58" s="486" t="n"/>
      <c r="J58" s="466" t="n"/>
      <c r="K58" s="2" t="n"/>
      <c r="L58" s="2" t="n"/>
      <c r="M58" s="2" t="n"/>
    </row>
    <row r="59">
      <c r="B59" s="420" t="inlineStr">
        <is>
          <t>東(尼崎・伊丹・西宮)</t>
        </is>
      </c>
      <c r="C59" s="420" t="n"/>
      <c r="D59" s="485" t="inlineStr">
        <is>
          <t>⑨</t>
        </is>
      </c>
      <c r="E59" s="486" t="n"/>
      <c r="F59" s="486" t="n"/>
      <c r="G59" s="486" t="n"/>
      <c r="H59" s="486" t="n"/>
      <c r="I59" s="486" t="n"/>
      <c r="J59" s="466" t="n"/>
      <c r="K59" s="2" t="n"/>
      <c r="L59" s="2" t="n"/>
      <c r="M59" s="2" t="n"/>
    </row>
    <row r="60">
      <c r="B60" s="48" t="inlineStr">
        <is>
          <t>極東(港区・淀屋橋)</t>
        </is>
      </c>
      <c r="C60" s="420" t="n"/>
      <c r="D60" s="49" t="n"/>
      <c r="E60" s="49" t="n"/>
      <c r="F60" s="49" t="n"/>
      <c r="G60" s="49" t="n"/>
      <c r="H60" s="49" t="n"/>
      <c r="I60" s="49" t="n"/>
      <c r="J60" s="49" t="n"/>
      <c r="K60" s="2" t="n"/>
      <c r="L60" s="2" t="n"/>
      <c r="M60" s="2" t="n"/>
    </row>
    <row r="61" ht="14.25" customHeight="1" s="462" thickBot="1">
      <c r="J61" s="2" t="n"/>
      <c r="K61" s="2" t="n"/>
      <c r="L61" s="2" t="n"/>
      <c r="M61" s="2" t="n"/>
    </row>
    <row r="62">
      <c r="C62" s="473" t="inlineStr">
        <is>
          <t>合計額/380</t>
        </is>
      </c>
      <c r="D62" s="358">
        <f>SUM(G62)</f>
        <v/>
      </c>
      <c r="F62" s="360" t="inlineStr">
        <is>
          <t>売り上げ額</t>
        </is>
      </c>
      <c r="G62" s="362">
        <f>SUM(SUM(K4:K28))+SUM(#REF!)</f>
        <v/>
      </c>
      <c r="H62" s="465" t="n"/>
      <c r="I62" s="465" t="n"/>
      <c r="J62" s="467" t="n"/>
      <c r="K62" s="2" t="n"/>
      <c r="L62" s="2" t="n"/>
      <c r="M62" s="2" t="n"/>
    </row>
    <row r="63" ht="14.25" customHeight="1" s="462" thickBot="1">
      <c r="C63" s="474" t="n"/>
      <c r="D63" s="475" t="n"/>
      <c r="F63" s="468" t="n"/>
      <c r="G63" s="476" t="n"/>
      <c r="H63" s="477" t="n"/>
      <c r="I63" s="477" t="n"/>
      <c r="J63" s="469" t="n"/>
      <c r="K63" s="2" t="n"/>
      <c r="L63" s="2" t="n"/>
      <c r="M63" s="2" t="n"/>
    </row>
    <row r="64">
      <c r="C64" s="478" t="inlineStr">
        <is>
          <t>前日までの売上合計額</t>
        </is>
      </c>
      <c r="D64" s="479">
        <f>SUM(B73)</f>
        <v/>
      </c>
      <c r="J64" s="2" t="n"/>
      <c r="K64" s="2" t="n"/>
      <c r="L64" s="2" t="n"/>
      <c r="M64" s="2" t="n"/>
    </row>
    <row r="65" ht="14.25" customHeight="1" s="462" thickBot="1">
      <c r="C65" s="480" t="n"/>
      <c r="D65" s="480" t="n"/>
      <c r="F65" s="420" t="inlineStr">
        <is>
          <t>金井（55)</t>
        </is>
      </c>
      <c r="G65" s="345" t="n"/>
      <c r="H65" s="466" t="n"/>
      <c r="I65" s="130" t="n"/>
      <c r="J65" s="2" t="n"/>
      <c r="K65" s="2" t="n"/>
      <c r="L65" s="2" t="n"/>
      <c r="M65" s="2" t="n"/>
    </row>
    <row r="66" ht="14.25" customHeight="1" s="462" thickTop="1">
      <c r="D66" s="346">
        <f>D62+D64</f>
        <v/>
      </c>
      <c r="F66" s="420" t="inlineStr">
        <is>
          <t>粟津(55)</t>
        </is>
      </c>
      <c r="G66" s="340" t="n"/>
      <c r="H66" s="466" t="n"/>
      <c r="I66" s="131" t="n"/>
      <c r="J66" s="2" t="n"/>
      <c r="K66" s="2" t="n"/>
      <c r="L66" s="2" t="n"/>
      <c r="M66" s="2" t="n"/>
    </row>
    <row r="67">
      <c r="F67" s="420" t="inlineStr">
        <is>
          <t>砂川(50)</t>
        </is>
      </c>
      <c r="G67" s="340" t="n"/>
      <c r="H67" s="466" t="n"/>
      <c r="I67" s="131" t="n"/>
      <c r="J67" s="2" t="n"/>
      <c r="K67" s="2" t="n"/>
      <c r="L67" s="2" t="n"/>
      <c r="M67" s="2" t="n"/>
    </row>
    <row r="68">
      <c r="C68" s="2" t="inlineStr">
        <is>
          <t>高代</t>
        </is>
      </c>
      <c r="F68" s="420" t="inlineStr">
        <is>
          <t>前川(50)</t>
        </is>
      </c>
      <c r="G68" s="340" t="n"/>
      <c r="H68" s="466" t="n"/>
      <c r="I68" s="131" t="n"/>
      <c r="J68" s="2" t="n"/>
      <c r="K68" s="2" t="n"/>
      <c r="L68" s="2" t="n"/>
      <c r="M68" s="2" t="n"/>
    </row>
    <row r="69">
      <c r="C69" s="2" t="inlineStr">
        <is>
          <t>返還代</t>
        </is>
      </c>
      <c r="F69" s="420" t="inlineStr">
        <is>
          <t>佐藤(50)</t>
        </is>
      </c>
      <c r="G69" s="345" t="n"/>
      <c r="H69" s="466" t="n"/>
      <c r="I69" s="130" t="n"/>
      <c r="J69" s="2" t="n"/>
      <c r="K69" s="2" t="n"/>
      <c r="L69" s="2" t="n"/>
      <c r="M69" s="2" t="n"/>
    </row>
    <row r="70">
      <c r="C70" s="2" t="inlineStr">
        <is>
          <t>回収率</t>
        </is>
      </c>
      <c r="D70" s="50">
        <f>D69/D68</f>
        <v/>
      </c>
      <c r="F70" s="420" t="inlineStr">
        <is>
          <t>末次(55)</t>
        </is>
      </c>
      <c r="G70" s="340" t="n"/>
      <c r="H70" s="466" t="n"/>
      <c r="I70" s="131" t="n"/>
      <c r="J70" s="2" t="n"/>
      <c r="K70" s="2" t="n"/>
      <c r="L70" s="2" t="n"/>
      <c r="M70" s="2" t="n"/>
    </row>
    <row r="71">
      <c r="C71" s="2" t="inlineStr">
        <is>
          <t>費</t>
        </is>
      </c>
      <c r="D71" s="2">
        <f>D68-D69</f>
        <v/>
      </c>
      <c r="F71" s="420" t="inlineStr">
        <is>
          <t>筒井(75)</t>
        </is>
      </c>
      <c r="G71" s="340" t="n"/>
      <c r="H71" s="466" t="n"/>
      <c r="I71" s="131" t="n"/>
      <c r="J71" s="2" t="n"/>
      <c r="K71" s="2" t="n"/>
      <c r="L71" s="2" t="n"/>
      <c r="M71" s="2" t="n"/>
    </row>
    <row r="72">
      <c r="F72" s="420" t="inlineStr">
        <is>
          <t>山岸(40)</t>
        </is>
      </c>
      <c r="G72" s="340" t="n"/>
      <c r="H72" s="466" t="n"/>
      <c r="I72" s="131" t="n"/>
      <c r="J72" s="2" t="n"/>
      <c r="K72" s="2" t="n"/>
      <c r="L72" s="2" t="n"/>
      <c r="M72" s="2" t="n"/>
    </row>
    <row r="73" ht="17.25" customHeight="1" s="462">
      <c r="B73" s="71" t="n"/>
      <c r="F73" s="420" t="inlineStr">
        <is>
          <t>多苗(30)</t>
        </is>
      </c>
      <c r="G73" s="340" t="n"/>
      <c r="H73" s="466" t="n"/>
      <c r="I73" s="131" t="n"/>
      <c r="J73" s="2" t="n"/>
      <c r="K73" s="2" t="n"/>
      <c r="L73" s="2" t="inlineStr">
        <is>
          <t> </t>
        </is>
      </c>
      <c r="M73" s="2" t="n"/>
    </row>
    <row r="74">
      <c r="J74" s="2" t="n"/>
      <c r="K74" s="2" t="n"/>
      <c r="L74" s="2" t="n"/>
      <c r="M74" s="2" t="n"/>
    </row>
    <row r="75">
      <c r="J75" s="2" t="n"/>
      <c r="K75" s="2" t="n"/>
      <c r="L75" s="2" t="n"/>
      <c r="M75" s="2" t="n"/>
    </row>
    <row r="77" ht="23.25" customHeight="1" s="462"/>
  </sheetData>
  <mergeCells count="55">
    <mergeCell ref="K36:K37"/>
    <mergeCell ref="Q25:R25"/>
    <mergeCell ref="D56:J56"/>
    <mergeCell ref="Q3:R3"/>
    <mergeCell ref="Q21:R21"/>
    <mergeCell ref="K33:K34"/>
    <mergeCell ref="D58:J58"/>
    <mergeCell ref="E33:F33"/>
    <mergeCell ref="Q28:R28"/>
    <mergeCell ref="G71:H71"/>
    <mergeCell ref="Q24:R24"/>
    <mergeCell ref="G67:H67"/>
    <mergeCell ref="D55:J55"/>
    <mergeCell ref="E48:F48"/>
    <mergeCell ref="G70:H70"/>
    <mergeCell ref="E39:F39"/>
    <mergeCell ref="H33:J34"/>
    <mergeCell ref="D51:J51"/>
    <mergeCell ref="E44:F44"/>
    <mergeCell ref="E35:F35"/>
    <mergeCell ref="B2:C2"/>
    <mergeCell ref="E38:F38"/>
    <mergeCell ref="D54:J54"/>
    <mergeCell ref="G62:J63"/>
    <mergeCell ref="D66:D67"/>
    <mergeCell ref="D59:J59"/>
    <mergeCell ref="Q5:R5"/>
    <mergeCell ref="Q20:R20"/>
    <mergeCell ref="Q23:R23"/>
    <mergeCell ref="G66:H66"/>
    <mergeCell ref="K31:K32"/>
    <mergeCell ref="G69:H69"/>
    <mergeCell ref="E31:F31"/>
    <mergeCell ref="Q4:R4"/>
    <mergeCell ref="D62:D63"/>
    <mergeCell ref="E34:F34"/>
    <mergeCell ref="F62:F63"/>
    <mergeCell ref="H31:J32"/>
    <mergeCell ref="G68:H68"/>
    <mergeCell ref="D52:J52"/>
    <mergeCell ref="E45:F45"/>
    <mergeCell ref="D64:D65"/>
    <mergeCell ref="Q22:R22"/>
    <mergeCell ref="E36:F36"/>
    <mergeCell ref="D57:J57"/>
    <mergeCell ref="G65:H65"/>
    <mergeCell ref="H36:J37"/>
    <mergeCell ref="C62:C63"/>
    <mergeCell ref="G73:H73"/>
    <mergeCell ref="E32:F32"/>
    <mergeCell ref="D53:J53"/>
    <mergeCell ref="E37:F37"/>
    <mergeCell ref="C64:C65"/>
    <mergeCell ref="E47:F47"/>
    <mergeCell ref="G72:H72"/>
  </mergeCells>
  <conditionalFormatting sqref="L3:L28">
    <cfRule type="cellIs" priority="3" operator="greaterThan" dxfId="0">
      <formula>30</formula>
    </cfRule>
  </conditionalFormatting>
  <conditionalFormatting sqref="K33:K3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D5:D36">
    <cfRule type="containsText" priority="6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39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R93"/>
  <sheetViews>
    <sheetView topLeftCell="A19" zoomScaleNormal="100" workbookViewId="0">
      <selection activeCell="H6" sqref="H6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449" min="10" max="10"/>
    <col outlineLevel="1" width="20.25" customWidth="1" style="452" min="11" max="11"/>
    <col width="8.75" customWidth="1" style="449" min="12" max="13"/>
    <col width="8.75" customWidth="1" style="2" min="14" max="16384"/>
  </cols>
  <sheetData>
    <row r="1"/>
    <row r="2" ht="15" customHeight="1" s="462" thickBot="1">
      <c r="B2" s="493" t="n">
        <v>46202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 t="n"/>
      <c r="B6" s="57" t="n"/>
      <c r="C6" s="441" t="n"/>
      <c r="D6" s="63" t="n"/>
      <c r="E6" s="441" t="n"/>
      <c r="F6" s="57" t="n"/>
      <c r="G6" s="65" t="n"/>
      <c r="H6" s="438" t="n"/>
      <c r="I6" s="295">
        <f>IFERROR(_xlfn.XLOOKUP(H6,案件・ドライバー一覧!$L$3:$L$17,案件・ドライバー一覧!$M$3:$M$17,""),"")</f>
        <v/>
      </c>
      <c r="J6" s="57" t="n"/>
      <c r="K6" s="72" t="n"/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441" t="n"/>
      <c r="D7" s="63" t="n"/>
      <c r="E7" s="441" t="n"/>
      <c r="F7" s="57" t="n"/>
      <c r="G7" s="68" t="n"/>
      <c r="H7" s="438" t="n"/>
      <c r="I7" s="295">
        <f>IFERROR(_xlfn.XLOOKUP(H7,案件・ドライバー一覧!$L$3:$L$17,案件・ドライバー一覧!$M$3:$M$17,""),"")</f>
        <v/>
      </c>
      <c r="J7" s="57" t="n"/>
      <c r="K7" s="73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</row>
    <row r="8" ht="27" customHeight="1" s="462">
      <c r="A8" s="423">
        <f>IF(B8="","",COUNTA($B$5:B8))</f>
        <v/>
      </c>
      <c r="B8" s="57" t="n"/>
      <c r="C8" s="64" t="n"/>
      <c r="D8" s="63" t="n"/>
      <c r="E8" s="441" t="n"/>
      <c r="F8" s="57" t="n"/>
      <c r="G8" s="59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4" t="n"/>
      <c r="D9" s="441" t="n"/>
      <c r="E9" s="441" t="n"/>
      <c r="F9" s="57" t="n"/>
      <c r="G9" s="59" t="n"/>
      <c r="H9" s="438" t="n"/>
      <c r="I9" s="295">
        <f>IFERROR(_xlfn.XLOOKUP(H9,案件・ドライバー一覧!$L$3:$L$17,案件・ドライバー一覧!$M$3:$M$17,""),"")</f>
        <v/>
      </c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438" t="n"/>
      <c r="I10" s="296">
        <f>IFERROR(_xlfn.XLOOKUP(H10,案件・ドライバー一覧!$L$3:$L$17,案件・ドライバー一覧!$M$3:$M$17,""),"")</f>
        <v/>
      </c>
      <c r="J10" s="420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16.5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295">
        <f>IFERROR(_xlfn.XLOOKUP(H16,案件・ドライバー一覧!$L$3:$L$17,案件・ドライバー一覧!$M$3:$M$17,""),"")</f>
        <v/>
      </c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 t="n"/>
      <c r="B18" s="57" t="n"/>
      <c r="C18" s="63" t="n"/>
      <c r="D18" s="441" t="n"/>
      <c r="E18" s="441" t="n"/>
      <c r="F18" s="57" t="n"/>
      <c r="G18" s="65" t="n"/>
      <c r="H18" s="438" t="n"/>
      <c r="I18" s="427" t="n"/>
      <c r="J18" s="57" t="n"/>
      <c r="K18" s="72" t="n"/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438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27" customHeight="1" s="462">
      <c r="A20" s="423">
        <f>IF(B20="","",COUNTA($B$5:B20))</f>
        <v/>
      </c>
      <c r="B20" s="57" t="n"/>
      <c r="C20" s="63" t="n"/>
      <c r="D20" s="441" t="n"/>
      <c r="E20" s="441" t="n"/>
      <c r="F20" s="57" t="n"/>
      <c r="G20" s="65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441" t="n"/>
      <c r="D21" s="441" t="n"/>
      <c r="E21" s="441" t="n"/>
      <c r="F21" s="57" t="n"/>
      <c r="G21" s="65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  <c r="R21" s="449" t="n"/>
    </row>
    <row r="22" ht="28.5" customHeight="1" s="462">
      <c r="A22" s="423">
        <f>IF(B22="","",COUNTA($B$5:B22))</f>
        <v/>
      </c>
      <c r="B22" s="57" t="n"/>
      <c r="C22" s="64" t="n"/>
      <c r="D22" s="441" t="n"/>
      <c r="E22" s="63" t="n"/>
      <c r="F22" s="441" t="n"/>
      <c r="G22" s="59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  <c r="R25" s="449" t="n"/>
    </row>
    <row r="26" ht="27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15.75" customHeight="1" s="462">
      <c r="A28" s="423">
        <f>IF(B28="","",COUNTA($B$5:B28))</f>
        <v/>
      </c>
      <c r="B28" s="57" t="n"/>
      <c r="C28" s="63" t="n"/>
      <c r="D28" s="441" t="n"/>
      <c r="E28" s="441" t="n"/>
      <c r="F28" s="57" t="n"/>
      <c r="G28" s="65" t="n"/>
      <c r="H28" s="438" t="n"/>
      <c r="I28" s="427" t="n"/>
      <c r="J28" s="57" t="n"/>
      <c r="K28" s="7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  <c r="R28" s="449" t="n"/>
    </row>
    <row r="29" ht="27" customHeight="1" s="462">
      <c r="A29" s="423">
        <f>IF(B29="","",COUNTA($B$5:B29))</f>
        <v/>
      </c>
      <c r="B29" s="57" t="n"/>
      <c r="C29" s="441" t="n"/>
      <c r="D29" s="63" t="n"/>
      <c r="E29" s="441" t="n"/>
      <c r="F29" s="57" t="n"/>
      <c r="G29" s="59" t="n"/>
      <c r="H29" s="438" t="n"/>
      <c r="I29" s="427" t="n"/>
      <c r="J29" s="57" t="n"/>
      <c r="K29" s="72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N29" s="449" t="n"/>
      <c r="O29" s="449" t="n"/>
      <c r="P29" s="449" t="n"/>
      <c r="Q29" s="449" t="n"/>
      <c r="R29" s="449" t="n"/>
    </row>
    <row r="30" ht="27" customHeight="1" s="462">
      <c r="A30" s="423" t="n"/>
      <c r="B30" s="57" t="n"/>
      <c r="C30" s="441" t="n"/>
      <c r="D30" s="63" t="n"/>
      <c r="E30" s="441" t="n"/>
      <c r="F30" s="57" t="n"/>
      <c r="G30" s="59" t="n"/>
      <c r="H30" s="438" t="n"/>
      <c r="I30" s="427" t="n"/>
      <c r="J30" s="57" t="n"/>
      <c r="K30" s="72" t="n"/>
      <c r="L30" s="61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IF(B31="","",COUNTA($B$5:B31))</f>
        <v/>
      </c>
      <c r="B31" s="57" t="n"/>
      <c r="C31" s="62" t="n"/>
      <c r="D31" s="63" t="n"/>
      <c r="E31" s="441" t="n"/>
      <c r="F31" s="57" t="n"/>
      <c r="G31" s="247" t="n"/>
      <c r="H31" s="438" t="n"/>
      <c r="I31" s="427" t="n"/>
      <c r="J31" s="57" t="n"/>
      <c r="K31" s="73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N31" s="449" t="n"/>
      <c r="O31" s="449" t="n"/>
      <c r="P31" s="449" t="n"/>
      <c r="Q31" s="449" t="n"/>
    </row>
    <row r="32" ht="27" customHeight="1" s="462">
      <c r="A32" s="423">
        <f>IF(B32="","",COUNTA($B$5:B32))</f>
        <v/>
      </c>
      <c r="B32" s="57" t="n"/>
      <c r="C32" s="63" t="n"/>
      <c r="D32" s="64" t="n"/>
      <c r="E32" s="420" t="n"/>
      <c r="F32" s="57" t="n"/>
      <c r="G32" s="66" t="n"/>
      <c r="H32" s="438" t="n"/>
      <c r="I32" s="438" t="n"/>
      <c r="J32" s="420" t="n"/>
      <c r="K32" s="73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N32" s="449" t="n"/>
      <c r="O32" s="449" t="n"/>
      <c r="P32" s="449" t="n"/>
      <c r="Q32" s="449" t="n"/>
    </row>
    <row r="33" ht="27" customHeight="1" s="462">
      <c r="A33" s="423">
        <f>IF(B33="","",COUNTA($B$5:B33))</f>
        <v/>
      </c>
      <c r="B33" s="57" t="n"/>
      <c r="C33" s="63" t="n"/>
      <c r="D33" s="64" t="n"/>
      <c r="E33" s="57" t="n"/>
      <c r="F33" s="57" t="n"/>
      <c r="G33" s="66" t="n"/>
      <c r="H33" s="438" t="n"/>
      <c r="I33" s="427" t="n"/>
      <c r="J33" s="57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N33" s="449" t="n"/>
      <c r="O33" s="449" t="n"/>
      <c r="P33" s="449" t="n"/>
      <c r="Q33" s="449" t="n"/>
      <c r="R33" s="449" t="n"/>
    </row>
    <row r="34" ht="27" customHeight="1" s="462">
      <c r="A34" s="423">
        <f>IF(B34="","",COUNTA($B$5:B34))</f>
        <v/>
      </c>
      <c r="B34" s="57" t="n"/>
      <c r="C34" s="420" t="n"/>
      <c r="D34" s="63" t="n"/>
      <c r="E34" s="441" t="n"/>
      <c r="F34" s="57" t="n"/>
      <c r="G34" s="65" t="n"/>
      <c r="H34" s="438" t="n"/>
      <c r="I34" s="427" t="n"/>
      <c r="J34" s="57" t="n"/>
      <c r="K34" s="72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N34" s="449" t="n"/>
      <c r="O34" s="449" t="n"/>
      <c r="P34" s="449" t="n"/>
      <c r="Q34" s="449" t="n"/>
    </row>
    <row r="35" ht="27" customHeight="1" s="462">
      <c r="A35" s="423">
        <f>IF(B35="","",COUNTA($B$5:B35))</f>
        <v/>
      </c>
      <c r="B35" s="57" t="n"/>
      <c r="C35" s="57" t="n"/>
      <c r="D35" s="441" t="n"/>
      <c r="E35" s="441" t="n"/>
      <c r="F35" s="57" t="n"/>
      <c r="G35" s="66" t="n"/>
      <c r="H35" s="438" t="n"/>
      <c r="I35" s="427" t="n"/>
      <c r="J35" s="57" t="n"/>
      <c r="K35" s="7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N35" s="449" t="n"/>
      <c r="O35" s="449" t="n"/>
      <c r="P35" s="449" t="n"/>
      <c r="Q35" s="449" t="n"/>
    </row>
    <row r="36" ht="27.75" customHeight="1" s="462">
      <c r="A36" s="423">
        <f>IF(B36="","",COUNTA($B$5:B36))</f>
        <v/>
      </c>
      <c r="B36" s="441" t="n"/>
      <c r="C36" s="440" t="n"/>
      <c r="D36" s="441" t="n"/>
      <c r="E36" s="440" t="n"/>
      <c r="F36" s="57" t="n"/>
      <c r="G36" s="65" t="n"/>
      <c r="H36" s="438" t="n"/>
      <c r="I36" s="438" t="n"/>
      <c r="J36" s="420" t="n"/>
      <c r="K36" s="72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N36" s="449" t="n"/>
      <c r="O36" s="449" t="n"/>
      <c r="P36" s="449" t="n"/>
      <c r="Q36" s="449" t="n"/>
    </row>
    <row r="37" ht="27" customHeight="1" s="462">
      <c r="A37" s="423">
        <f>IF(B37="","",COUNTA($B$5:B37))</f>
        <v/>
      </c>
      <c r="B37" s="441" t="n"/>
      <c r="C37" s="63" t="n"/>
      <c r="D37" s="440" t="n"/>
      <c r="E37" s="441" t="n"/>
      <c r="F37" s="57" t="n"/>
      <c r="G37" s="59" t="n"/>
      <c r="H37" s="438" t="n"/>
      <c r="I37" s="427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N37" s="449" t="n"/>
      <c r="O37" s="449" t="n"/>
      <c r="P37" s="449" t="n"/>
      <c r="Q37" s="449" t="n"/>
    </row>
    <row r="38" ht="27" customHeight="1" s="462">
      <c r="A38" s="423" t="n"/>
      <c r="B38" s="441" t="n"/>
      <c r="C38" s="63" t="n"/>
      <c r="D38" s="440" t="n"/>
      <c r="E38" s="441" t="n"/>
      <c r="F38" s="57" t="n"/>
      <c r="G38" s="59" t="n"/>
      <c r="H38" s="438" t="n"/>
      <c r="I38" s="427" t="n"/>
      <c r="J38" s="57" t="n"/>
      <c r="K38" s="73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N38" s="449" t="n"/>
      <c r="O38" s="449" t="n"/>
      <c r="P38" s="449" t="n"/>
      <c r="Q38" s="449" t="n"/>
      <c r="R38" s="449" t="n"/>
    </row>
    <row r="39" ht="27" customHeight="1" s="462">
      <c r="A39" s="423">
        <f>IF(B39="","",COUNTA($B$5:B39))</f>
        <v/>
      </c>
      <c r="B39" s="441" t="n"/>
      <c r="C39" s="63" t="n"/>
      <c r="D39" s="440" t="n"/>
      <c r="E39" s="441" t="n"/>
      <c r="F39" s="57" t="n"/>
      <c r="G39" s="59" t="n"/>
      <c r="H39" s="438" t="n"/>
      <c r="I39" s="427" t="n"/>
      <c r="J39" s="57" t="n"/>
      <c r="K39" s="73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N39" s="449" t="n"/>
      <c r="O39" s="449" t="n"/>
      <c r="P39" s="449" t="n"/>
      <c r="Q39" s="449" t="n"/>
      <c r="R39" s="449" t="n"/>
    </row>
    <row r="40" ht="15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74" t="n"/>
      <c r="I40" s="80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N40" s="449" t="n"/>
      <c r="O40" s="449" t="n"/>
      <c r="P40" s="449" t="n"/>
      <c r="Q40" s="449" t="n"/>
      <c r="R40" s="449" t="n"/>
    </row>
    <row r="41" ht="27" customHeight="1" s="462">
      <c r="A41" s="423" t="n"/>
      <c r="B41" s="441" t="n"/>
      <c r="C41" s="63" t="n"/>
      <c r="D41" s="440" t="n"/>
      <c r="E41" s="441" t="n"/>
      <c r="F41" s="57" t="n"/>
      <c r="G41" s="59" t="n"/>
      <c r="H41" s="74" t="n"/>
      <c r="I41" s="80" t="n"/>
      <c r="J41" s="57" t="n"/>
      <c r="K41" s="73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N41" s="449" t="n"/>
      <c r="O41" s="449" t="n"/>
      <c r="P41" s="449" t="n"/>
      <c r="Q41" s="449" t="n"/>
      <c r="R41" s="449" t="n"/>
    </row>
    <row r="42" ht="27" customHeight="1" s="462">
      <c r="A42" s="423" t="n"/>
      <c r="B42" s="441" t="n"/>
      <c r="C42" s="63" t="n"/>
      <c r="D42" s="440" t="n"/>
      <c r="E42" s="441" t="n"/>
      <c r="F42" s="57" t="n"/>
      <c r="G42" s="59" t="n"/>
      <c r="H42" s="74" t="n"/>
      <c r="I42" s="80" t="n"/>
      <c r="J42" s="57" t="n"/>
      <c r="K42" s="73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2" s="61" t="n"/>
      <c r="N42" s="449" t="n"/>
      <c r="O42" s="449" t="n"/>
      <c r="P42" s="449" t="n"/>
      <c r="Q42" s="449" t="n"/>
      <c r="R42" s="449" t="n"/>
    </row>
    <row r="43" ht="27" customHeight="1" s="462">
      <c r="A43" s="423" t="n"/>
      <c r="B43" s="441" t="n"/>
      <c r="C43" s="63" t="n"/>
      <c r="D43" s="440" t="n"/>
      <c r="E43" s="441" t="n"/>
      <c r="F43" s="57" t="n"/>
      <c r="G43" s="59" t="n"/>
      <c r="H43" s="74" t="n"/>
      <c r="I43" s="80" t="n"/>
      <c r="J43" s="57" t="n"/>
      <c r="K43" s="73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3" s="61" t="n"/>
      <c r="N43" s="449" t="n"/>
      <c r="O43" s="449" t="n"/>
      <c r="P43" s="449" t="n"/>
      <c r="Q43" s="449" t="n"/>
      <c r="R43" s="449" t="n"/>
    </row>
    <row r="44" ht="27" customHeight="1" s="462">
      <c r="A44" s="423" t="n"/>
      <c r="B44" s="441" t="n"/>
      <c r="C44" s="63" t="n"/>
      <c r="D44" s="440" t="n"/>
      <c r="E44" s="441" t="n"/>
      <c r="F44" s="57" t="n"/>
      <c r="G44" s="59" t="n"/>
      <c r="H44" s="74" t="n"/>
      <c r="I44" s="80" t="n"/>
      <c r="J44" s="57" t="n"/>
      <c r="K44" s="73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4" s="61" t="n"/>
      <c r="N44" s="449" t="n"/>
      <c r="O44" s="449" t="n"/>
      <c r="P44" s="449" t="n"/>
      <c r="Q44" s="449" t="n"/>
      <c r="R44" s="449" t="n"/>
    </row>
    <row r="45" ht="27" customHeight="1" s="462">
      <c r="A45" s="423">
        <f>IF(B45="","",COUNTA($B$5:B45))</f>
        <v/>
      </c>
      <c r="B45" s="420" t="n"/>
      <c r="C45" s="420" t="n"/>
      <c r="D45" s="420" t="n"/>
      <c r="E45" s="420" t="n"/>
      <c r="F45" s="420" t="n"/>
      <c r="G45" s="69" t="n"/>
      <c r="H45" s="74" t="n"/>
      <c r="I45" s="74" t="n"/>
      <c r="J45" s="420" t="n"/>
      <c r="K45" s="22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5" s="61" t="n"/>
      <c r="N45" s="449" t="n"/>
      <c r="O45" s="449" t="n"/>
      <c r="P45" s="449" t="n"/>
      <c r="Q45" s="449" t="n"/>
    </row>
    <row r="46" ht="27" customHeight="1" s="462">
      <c r="A46" s="423">
        <f>IF(B46="","",COUNTA($B$5:B46))</f>
        <v/>
      </c>
      <c r="B46" s="420" t="n"/>
      <c r="C46" s="420" t="n"/>
      <c r="D46" s="420" t="n"/>
      <c r="E46" s="420" t="n"/>
      <c r="F46" s="420" t="n"/>
      <c r="G46" s="69" t="n"/>
      <c r="H46" s="70" t="n"/>
      <c r="I46" s="70" t="n"/>
      <c r="J46" s="420" t="n"/>
      <c r="K46" s="22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6" s="61" t="n"/>
      <c r="N46" s="449" t="n"/>
      <c r="O46" s="449" t="n"/>
      <c r="P46" s="449" t="n"/>
      <c r="Q46" s="449" t="n"/>
    </row>
    <row r="47">
      <c r="B47" s="18" t="n"/>
      <c r="C47" s="18" t="n"/>
      <c r="D47" s="18" t="n"/>
      <c r="E47" s="18" t="n"/>
      <c r="F47" s="18" t="n"/>
      <c r="G47" s="19" t="n"/>
      <c r="H47" s="33" t="n"/>
      <c r="I47" s="18" t="n"/>
      <c r="J47" s="18" t="n"/>
      <c r="K47" s="18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7" s="2" t="n"/>
      <c r="M47" s="2" t="n"/>
    </row>
    <row r="48" ht="14.25" customHeight="1" s="462" thickBot="1">
      <c r="J48" s="2" t="n"/>
      <c r="K48" s="2">
        <f t="array" ref="K48">IF(OR(H48="",L48=""),"",IFERROR(_xlfn.LET(_xlpm.vt,VLOOKUP(IFERROR(VALUE(LEFT(H48,FIND("＊",H48&amp;"＊")-1)),H48),運賃マスター!$A$22:$B$40,2,FALSE),_xlpm.d,L48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8" s="2" t="n"/>
      <c r="M48" s="2" t="n"/>
    </row>
    <row r="49">
      <c r="B49" s="22" t="n"/>
      <c r="C49" s="25" t="n"/>
      <c r="D49" s="25" t="inlineStr">
        <is>
          <t>現在待機場所</t>
        </is>
      </c>
      <c r="E49" s="25" t="inlineStr">
        <is>
          <t>待機予定場所</t>
        </is>
      </c>
      <c r="F49" s="466" t="n"/>
      <c r="H49" s="375" t="inlineStr">
        <is>
          <t>目標距離</t>
        </is>
      </c>
      <c r="I49" s="465" t="n"/>
      <c r="J49" s="467" t="n"/>
      <c r="K49" s="377">
        <f t="array" ref="K49">IF(OR(H49="",L49=""),"",IFERROR(_xlfn.LET(_xlpm.vt,VLOOKUP(IFERROR(VALUE(LEFT(H49,FIND("＊",H49&amp;"＊")-1)),H49),運賃マスター!$A$22:$B$40,2,FALSE),_xlpm.d,L49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9" s="2" t="n"/>
      <c r="M49" s="2" t="n"/>
    </row>
    <row r="50" ht="14.25" customHeight="1" s="462" thickBot="1">
      <c r="B50" s="26" t="inlineStr">
        <is>
          <t>2(255)</t>
        </is>
      </c>
      <c r="C50" s="21" t="inlineStr">
        <is>
          <t>山岸</t>
        </is>
      </c>
      <c r="D50" s="34" t="n"/>
      <c r="E50" s="34" t="n"/>
      <c r="F50" s="466" t="n"/>
      <c r="H50" s="468" t="n"/>
      <c r="I50" s="477" t="n"/>
      <c r="J50" s="469" t="n"/>
      <c r="K50" s="470" t="n"/>
      <c r="L50" s="2" t="n"/>
      <c r="M50" s="2" t="n"/>
    </row>
    <row r="51">
      <c r="B51" s="26" t="inlineStr">
        <is>
          <t>8(254)</t>
        </is>
      </c>
      <c r="C51" s="21" t="inlineStr">
        <is>
          <t>砂川</t>
        </is>
      </c>
      <c r="D51" s="35" t="n"/>
      <c r="E51" s="35" t="n"/>
      <c r="F51" s="466" t="n"/>
      <c r="H51" s="368" t="inlineStr">
        <is>
          <t>残距離</t>
        </is>
      </c>
      <c r="J51" s="471" t="n"/>
      <c r="K51" s="354">
        <f>550-SUM(L3:L46)-SUM(#REF!)</f>
        <v/>
      </c>
      <c r="L51" s="2" t="n"/>
      <c r="M51" s="2" t="n"/>
    </row>
    <row r="52" ht="14.25" customHeight="1" s="462" thickBot="1">
      <c r="B52" s="26" t="inlineStr">
        <is>
          <t>9(256)</t>
        </is>
      </c>
      <c r="C52" s="21" t="inlineStr">
        <is>
          <t>前川</t>
        </is>
      </c>
      <c r="D52" s="35" t="n"/>
      <c r="E52" s="35" t="n"/>
      <c r="F52" s="466" t="n"/>
      <c r="H52" s="468" t="n"/>
      <c r="I52" s="477" t="n"/>
      <c r="J52" s="469" t="n"/>
      <c r="K52" s="472" t="n"/>
      <c r="L52" s="2" t="n"/>
      <c r="M52" s="2" t="n"/>
    </row>
    <row r="53" ht="14.25" customHeight="1" s="462" thickBot="1">
      <c r="B53" s="26" t="inlineStr">
        <is>
          <t>10(257)</t>
        </is>
      </c>
      <c r="C53" s="35" t="n"/>
      <c r="D53" s="35" t="n"/>
      <c r="E53" s="35" t="n"/>
      <c r="F53" s="466" t="n"/>
      <c r="J53" s="2" t="n"/>
      <c r="K53" s="2" t="n"/>
      <c r="L53" s="2" t="n"/>
      <c r="M53" s="2" t="n"/>
    </row>
    <row r="54">
      <c r="B54" s="26" t="inlineStr">
        <is>
          <t>11(258)</t>
        </is>
      </c>
      <c r="C54" s="21" t="inlineStr">
        <is>
          <t>郡司</t>
        </is>
      </c>
      <c r="D54" s="35" t="n"/>
      <c r="E54" s="35" t="n"/>
      <c r="F54" s="466" t="n"/>
      <c r="H54" s="350" t="inlineStr">
        <is>
          <t>依頼件数</t>
        </is>
      </c>
      <c r="I54" s="465" t="n"/>
      <c r="J54" s="467" t="n"/>
      <c r="K54" s="354">
        <f>SUM(P3:P46)+SUM(SUM(#REF!))</f>
        <v/>
      </c>
      <c r="L54" s="2" t="n"/>
      <c r="M54" s="2" t="n"/>
    </row>
    <row r="55" ht="14.25" customHeight="1" s="462" thickBot="1">
      <c r="B55" s="26" t="inlineStr">
        <is>
          <t>12(736)</t>
        </is>
      </c>
      <c r="C55" s="21" t="n"/>
      <c r="D55" s="35" t="n"/>
      <c r="E55" s="35" t="n"/>
      <c r="F55" s="466" t="n"/>
      <c r="H55" s="468" t="n"/>
      <c r="I55" s="477" t="n"/>
      <c r="J55" s="469" t="n"/>
      <c r="K55" s="472" t="n"/>
      <c r="L55" s="2" t="n"/>
      <c r="M55" s="2" t="n"/>
    </row>
    <row r="56" ht="16.5" customHeight="1" s="462">
      <c r="B56" s="26" t="inlineStr">
        <is>
          <t>13(737)</t>
        </is>
      </c>
      <c r="C56" s="21" t="n"/>
      <c r="D56" s="35" t="n"/>
      <c r="E56" s="35" t="n"/>
      <c r="F56" s="466" t="n"/>
      <c r="H56" s="38" t="n"/>
      <c r="I56" s="38" t="n"/>
      <c r="J56" s="38" t="n"/>
      <c r="K56" s="39" t="n"/>
      <c r="L56" s="2" t="n"/>
      <c r="M56" s="2" t="n"/>
    </row>
    <row r="57" ht="16.5" customHeight="1" s="462">
      <c r="B57" s="40" t="inlineStr">
        <is>
          <t>14(738)</t>
        </is>
      </c>
      <c r="C57" s="21" t="inlineStr">
        <is>
          <t>辻井</t>
        </is>
      </c>
      <c r="D57" s="35" t="n"/>
      <c r="E57" s="35" t="n"/>
      <c r="F57" s="466" t="n"/>
      <c r="H57" s="38" t="n"/>
      <c r="I57" s="38" t="n"/>
      <c r="J57" s="38" t="n"/>
      <c r="K57" s="39" t="n"/>
      <c r="L57" s="2" t="n"/>
      <c r="M57" s="2" t="n"/>
    </row>
    <row r="58" ht="8.25" customHeight="1" s="462">
      <c r="B58" s="41" t="n"/>
      <c r="C58" s="42" t="n"/>
      <c r="D58" s="43" t="n"/>
      <c r="E58" s="44" t="n"/>
      <c r="F58" s="349" t="n"/>
      <c r="H58" s="38" t="n"/>
      <c r="I58" s="38" t="n"/>
      <c r="J58" s="38" t="n"/>
      <c r="K58" s="39" t="n"/>
      <c r="L58" s="2" t="n"/>
      <c r="M58" s="2" t="n"/>
    </row>
    <row r="59" ht="17.25" customHeight="1" s="462">
      <c r="B59" s="45" t="n">
        <v>7290</v>
      </c>
      <c r="C59" s="21" t="inlineStr">
        <is>
          <t>佐藤</t>
        </is>
      </c>
      <c r="D59" s="35" t="n"/>
      <c r="E59" s="348" t="n"/>
      <c r="F59" s="349" t="n"/>
      <c r="H59" s="38" t="n"/>
      <c r="I59" s="38" t="n"/>
      <c r="J59" s="38" t="n"/>
      <c r="K59" s="39" t="n"/>
      <c r="L59" s="2" t="n"/>
      <c r="M59" s="2" t="n"/>
    </row>
    <row r="60" ht="17.25" customHeight="1" s="462">
      <c r="B60" s="45" t="n">
        <v>7291</v>
      </c>
      <c r="C60" s="21" t="inlineStr">
        <is>
          <t>末次</t>
        </is>
      </c>
      <c r="D60" s="35" t="n"/>
      <c r="E60" s="348" t="n"/>
      <c r="F60" s="349" t="n"/>
      <c r="H60" s="38" t="n"/>
      <c r="I60" s="38" t="n"/>
      <c r="J60" s="38" t="n"/>
      <c r="K60" s="39" t="n"/>
      <c r="L60" s="2" t="n"/>
      <c r="M60" s="2" t="n"/>
    </row>
    <row r="61" ht="9" customHeight="1" s="462">
      <c r="B61" s="41" t="n"/>
      <c r="C61" s="42" t="n"/>
      <c r="D61" s="44" t="n"/>
      <c r="E61" s="44" t="n"/>
      <c r="F61" s="349" t="n"/>
      <c r="H61" s="38" t="n"/>
      <c r="I61" s="38" t="n"/>
      <c r="J61" s="38" t="n"/>
      <c r="K61" s="39" t="n"/>
      <c r="L61" s="2" t="n"/>
      <c r="M61" s="2" t="n"/>
    </row>
    <row r="62" ht="16.5" customHeight="1" s="462">
      <c r="B62" s="45" t="n">
        <v>333</v>
      </c>
      <c r="C62" s="21" t="inlineStr">
        <is>
          <t>金井/奥田</t>
        </is>
      </c>
      <c r="D62" s="35" t="n"/>
      <c r="E62" s="484" t="n"/>
      <c r="F62" s="469" t="n"/>
      <c r="H62" s="38" t="n"/>
      <c r="I62" s="38" t="n"/>
      <c r="J62" s="38" t="n"/>
      <c r="K62" s="39" t="n"/>
      <c r="L62" s="2" t="n"/>
      <c r="M62" s="2" t="n"/>
    </row>
    <row r="63" ht="16.5" customHeight="1" s="462">
      <c r="B63" s="46" t="n">
        <v>666</v>
      </c>
      <c r="C63" s="21" t="inlineStr">
        <is>
          <t>徳留</t>
        </is>
      </c>
      <c r="D63" s="35" t="n"/>
      <c r="E63" s="35" t="n"/>
      <c r="F63" s="466" t="n"/>
      <c r="H63" s="38" t="n"/>
      <c r="I63" s="38" t="n"/>
      <c r="J63" s="38" t="n"/>
      <c r="K63" s="39" t="n"/>
      <c r="L63" s="2" t="n"/>
      <c r="M63" s="2" t="n"/>
    </row>
    <row r="64" ht="16.5" customHeight="1" s="462">
      <c r="B64" s="46" t="n">
        <v>777</v>
      </c>
      <c r="C64" s="21" t="n"/>
      <c r="D64" s="35" t="n"/>
      <c r="E64" s="348" t="n"/>
      <c r="F64" s="349" t="n"/>
      <c r="H64" s="38" t="n"/>
      <c r="I64" s="38" t="n"/>
      <c r="J64" s="38" t="n"/>
      <c r="K64" s="39" t="n"/>
      <c r="L64" s="2" t="n"/>
      <c r="M64" s="2" t="n"/>
    </row>
    <row r="65" ht="16.5" customHeight="1" s="462">
      <c r="B65" s="47" t="n">
        <v>330</v>
      </c>
      <c r="C65" s="21" t="n"/>
      <c r="D65" s="35" t="n"/>
      <c r="E65" s="35" t="n"/>
      <c r="F65" s="466" t="n"/>
      <c r="H65" s="38" t="n"/>
      <c r="I65" s="38" t="n"/>
      <c r="J65" s="38" t="n"/>
      <c r="K65" s="39" t="n"/>
      <c r="L65" s="2" t="n"/>
      <c r="M65" s="2" t="n"/>
    </row>
    <row r="66" ht="16.5" customHeight="1" s="462">
      <c r="B66" s="47" t="n">
        <v>990</v>
      </c>
      <c r="C66" s="21" t="inlineStr">
        <is>
          <t>山原</t>
        </is>
      </c>
      <c r="D66" s="35" t="n"/>
      <c r="E66" s="35" t="n"/>
      <c r="F66" s="466" t="n"/>
      <c r="H66" s="38" t="n"/>
      <c r="I66" s="38" t="n"/>
      <c r="J66" s="38" t="n"/>
      <c r="K66" s="39" t="n"/>
      <c r="L66" s="2" t="n"/>
      <c r="M66" s="2" t="n"/>
    </row>
    <row r="67">
      <c r="J67" s="2" t="n"/>
      <c r="K67" s="2" t="n"/>
      <c r="L67" s="2" t="n"/>
      <c r="M67" s="2" t="n"/>
    </row>
    <row r="68">
      <c r="C68" s="449" t="inlineStr">
        <is>
          <t>出発→到着</t>
        </is>
      </c>
      <c r="D68" s="420" t="inlineStr">
        <is>
          <t>備考</t>
        </is>
      </c>
      <c r="J68" s="2" t="n"/>
      <c r="K68" s="2" t="n"/>
      <c r="L68" s="2" t="n"/>
      <c r="M68" s="2" t="n"/>
    </row>
    <row r="69">
      <c r="B69" s="27" t="inlineStr">
        <is>
          <t>①</t>
        </is>
      </c>
      <c r="C69" s="449" t="inlineStr">
        <is>
          <t>東→西</t>
        </is>
      </c>
      <c r="D69" s="485" t="inlineStr">
        <is>
          <t>①Aチーム優先</t>
        </is>
      </c>
      <c r="E69" s="486" t="n"/>
      <c r="F69" s="486" t="n"/>
      <c r="G69" s="486" t="n"/>
      <c r="H69" s="486" t="n"/>
      <c r="I69" s="486" t="n"/>
      <c r="J69" s="466" t="n"/>
      <c r="K69" s="2" t="n"/>
      <c r="L69" s="2" t="n"/>
      <c r="M69" s="2" t="n"/>
    </row>
    <row r="70">
      <c r="B70" s="27" t="inlineStr">
        <is>
          <t>②</t>
        </is>
      </c>
      <c r="C70" s="449" t="inlineStr">
        <is>
          <t>東→東</t>
        </is>
      </c>
      <c r="D70" s="485" t="inlineStr">
        <is>
          <t>②急ぎ案件の場合、道路状況も伝えてあげる。</t>
        </is>
      </c>
      <c r="E70" s="486" t="n"/>
      <c r="F70" s="486" t="n"/>
      <c r="G70" s="486" t="n"/>
      <c r="H70" s="486" t="n"/>
      <c r="I70" s="486" t="n"/>
      <c r="J70" s="466" t="n"/>
      <c r="K70" s="2" t="n"/>
      <c r="L70" s="2" t="n"/>
      <c r="M70" s="2" t="n"/>
    </row>
    <row r="71">
      <c r="B71" s="27" t="inlineStr">
        <is>
          <t>③</t>
        </is>
      </c>
      <c r="C71" s="449" t="inlineStr">
        <is>
          <t>西→東</t>
        </is>
      </c>
      <c r="D71" s="485" t="inlineStr">
        <is>
          <t>③各ドライバーの位置からの帰社のタイミング・夕方の配置</t>
        </is>
      </c>
      <c r="E71" s="486" t="n"/>
      <c r="F71" s="486" t="n"/>
      <c r="G71" s="486" t="n"/>
      <c r="H71" s="486" t="n"/>
      <c r="I71" s="486" t="n"/>
      <c r="J71" s="466" t="n"/>
      <c r="K71" s="2" t="n"/>
      <c r="L71" s="2" t="n"/>
      <c r="M71" s="2" t="n"/>
    </row>
    <row r="72">
      <c r="B72" s="27" t="inlineStr">
        <is>
          <t>④</t>
        </is>
      </c>
      <c r="C72" s="449" t="inlineStr">
        <is>
          <t>西→西</t>
        </is>
      </c>
      <c r="D72" s="485" t="inlineStr">
        <is>
          <t>④依頼を受ける際の、希望時間と現状の位置。行けるか行けないかの判断をしっかりと。</t>
        </is>
      </c>
      <c r="E72" s="486" t="n"/>
      <c r="F72" s="486" t="n"/>
      <c r="G72" s="486" t="n"/>
      <c r="H72" s="486" t="n"/>
      <c r="I72" s="486" t="n"/>
      <c r="J72" s="466" t="n"/>
      <c r="K72" s="2" t="n"/>
      <c r="L72" s="2" t="n"/>
      <c r="M72" s="2" t="n"/>
    </row>
    <row r="73">
      <c r="D73" s="485" t="inlineStr">
        <is>
          <t>⑤軽に乗るか乗らないかの判断に気を付ける。</t>
        </is>
      </c>
      <c r="E73" s="486" t="n"/>
      <c r="F73" s="486" t="n"/>
      <c r="G73" s="486" t="n"/>
      <c r="H73" s="486" t="n"/>
      <c r="I73" s="486" t="n"/>
      <c r="J73" s="466" t="n"/>
      <c r="K73" s="2" t="n"/>
      <c r="L73" s="2" t="n"/>
      <c r="M73" s="2" t="n"/>
    </row>
    <row r="74">
      <c r="B74" s="22" t="n"/>
      <c r="C74" s="420" t="inlineStr">
        <is>
          <t>現状配置(予測)</t>
        </is>
      </c>
      <c r="D74" s="485" t="inlineStr">
        <is>
          <t>⑥18/1日、1.8/1人、3件/1人</t>
        </is>
      </c>
      <c r="E74" s="486" t="n"/>
      <c r="F74" s="486" t="n"/>
      <c r="G74" s="486" t="n"/>
      <c r="H74" s="486" t="n"/>
      <c r="I74" s="486" t="n"/>
      <c r="J74" s="466" t="n"/>
      <c r="K74" s="2" t="n"/>
      <c r="L74" s="2" t="n"/>
      <c r="M74" s="2" t="n"/>
    </row>
    <row r="75">
      <c r="B75" s="420" t="inlineStr">
        <is>
          <t>西(神戸西・弥栄台)</t>
        </is>
      </c>
      <c r="C75" s="420" t="n"/>
      <c r="D75" s="485" t="inlineStr">
        <is>
          <t>⑦依頼書の見落とし(日付、入替、入出庫、場所）</t>
        </is>
      </c>
      <c r="E75" s="486" t="n"/>
      <c r="F75" s="486" t="n"/>
      <c r="G75" s="486" t="n"/>
      <c r="H75" s="486" t="n"/>
      <c r="I75" s="486" t="n"/>
      <c r="J75" s="466" t="n"/>
      <c r="K75" s="2" t="n"/>
      <c r="L75" s="2" t="n"/>
      <c r="M75" s="2" t="n"/>
    </row>
    <row r="76">
      <c r="B76" s="420" t="inlineStr">
        <is>
          <t>真ん中(摩耶・中央)</t>
        </is>
      </c>
      <c r="C76" s="420" t="n"/>
      <c r="D76" s="485" t="inlineStr">
        <is>
          <t>⑧3ｔ車と2ｔ車への振り方(西と東に振り分ける)</t>
        </is>
      </c>
      <c r="E76" s="486" t="n"/>
      <c r="F76" s="486" t="n"/>
      <c r="G76" s="486" t="n"/>
      <c r="H76" s="486" t="n"/>
      <c r="I76" s="486" t="n"/>
      <c r="J76" s="466" t="n"/>
      <c r="K76" s="2" t="n"/>
      <c r="L76" s="2" t="n"/>
      <c r="M76" s="2" t="n"/>
    </row>
    <row r="77">
      <c r="B77" s="420" t="inlineStr">
        <is>
          <t>東(尼崎・伊丹・西宮)</t>
        </is>
      </c>
      <c r="C77" s="420" t="n"/>
      <c r="D77" s="485" t="inlineStr">
        <is>
          <t>⑨</t>
        </is>
      </c>
      <c r="E77" s="486" t="n"/>
      <c r="F77" s="486" t="n"/>
      <c r="G77" s="486" t="n"/>
      <c r="H77" s="486" t="n"/>
      <c r="I77" s="486" t="n"/>
      <c r="J77" s="466" t="n"/>
      <c r="K77" s="2" t="n"/>
      <c r="L77" s="2" t="n"/>
      <c r="M77" s="2" t="n"/>
    </row>
    <row r="78">
      <c r="B78" s="48" t="inlineStr">
        <is>
          <t>極東(港区・淀屋橋)</t>
        </is>
      </c>
      <c r="C78" s="420" t="n"/>
      <c r="D78" s="49" t="n"/>
      <c r="E78" s="49" t="n"/>
      <c r="F78" s="49" t="n"/>
      <c r="G78" s="49" t="n"/>
      <c r="H78" s="49" t="n"/>
      <c r="I78" s="49" t="n"/>
      <c r="J78" s="49" t="n"/>
      <c r="K78" s="2" t="n"/>
      <c r="L78" s="2" t="n"/>
      <c r="M78" s="2" t="n"/>
    </row>
    <row r="79" ht="14.25" customHeight="1" s="462" thickBot="1">
      <c r="J79" s="2" t="n"/>
      <c r="K79" s="2" t="n"/>
      <c r="L79" s="2" t="n"/>
      <c r="M79" s="2" t="n"/>
    </row>
    <row r="80">
      <c r="C80" s="473" t="inlineStr">
        <is>
          <t>合計額/380</t>
        </is>
      </c>
      <c r="D80" s="358">
        <f>SUM(G80)</f>
        <v/>
      </c>
      <c r="F80" s="360" t="inlineStr">
        <is>
          <t>売り上げ額</t>
        </is>
      </c>
      <c r="G80" s="362">
        <f>SUM(SUM(K4:K46))+SUM(#REF!)</f>
        <v/>
      </c>
      <c r="H80" s="465" t="n"/>
      <c r="I80" s="465" t="n"/>
      <c r="J80" s="467" t="n"/>
      <c r="K80" s="2" t="n"/>
      <c r="L80" s="2" t="n"/>
      <c r="M80" s="2" t="n"/>
    </row>
    <row r="81" ht="14.25" customHeight="1" s="462" thickBot="1">
      <c r="C81" s="474" t="n"/>
      <c r="D81" s="475" t="n"/>
      <c r="F81" s="468" t="n"/>
      <c r="G81" s="476" t="n"/>
      <c r="H81" s="477" t="n"/>
      <c r="I81" s="477" t="n"/>
      <c r="J81" s="469" t="n"/>
      <c r="K81" s="2" t="n"/>
      <c r="L81" s="2" t="n"/>
      <c r="M81" s="2" t="n"/>
    </row>
    <row r="82">
      <c r="C82" s="478" t="inlineStr">
        <is>
          <t>前日までの売上合計額</t>
        </is>
      </c>
      <c r="D82" s="479">
        <f>SUM(B91)</f>
        <v/>
      </c>
      <c r="J82" s="2" t="n"/>
      <c r="K82" s="2" t="n"/>
      <c r="L82" s="2" t="n"/>
      <c r="M82" s="2" t="n"/>
    </row>
    <row r="83" ht="14.25" customHeight="1" s="462" thickBot="1">
      <c r="C83" s="480" t="n"/>
      <c r="D83" s="480" t="n"/>
      <c r="F83" s="420" t="inlineStr">
        <is>
          <t>金井（55)</t>
        </is>
      </c>
      <c r="G83" s="345" t="n"/>
      <c r="H83" s="466" t="n"/>
      <c r="I83" s="130" t="n"/>
      <c r="J83" s="2" t="n"/>
      <c r="K83" s="2" t="n"/>
      <c r="L83" s="2" t="n"/>
      <c r="M83" s="2" t="n"/>
    </row>
    <row r="84" ht="14.25" customHeight="1" s="462" thickTop="1">
      <c r="D84" s="346">
        <f>D80+D82</f>
        <v/>
      </c>
      <c r="F84" s="420" t="inlineStr">
        <is>
          <t>粟津(55)</t>
        </is>
      </c>
      <c r="G84" s="340" t="n"/>
      <c r="H84" s="466" t="n"/>
      <c r="I84" s="131" t="n"/>
      <c r="J84" s="2" t="n"/>
      <c r="K84" s="2" t="n"/>
      <c r="L84" s="2" t="n"/>
      <c r="M84" s="2" t="n"/>
    </row>
    <row r="85">
      <c r="F85" s="420" t="inlineStr">
        <is>
          <t>砂川(50)</t>
        </is>
      </c>
      <c r="G85" s="340" t="n"/>
      <c r="H85" s="466" t="n"/>
      <c r="I85" s="131" t="n"/>
      <c r="J85" s="2" t="n"/>
      <c r="K85" s="2" t="n"/>
      <c r="L85" s="2" t="n"/>
      <c r="M85" s="2" t="n"/>
    </row>
    <row r="86">
      <c r="C86" s="2" t="inlineStr">
        <is>
          <t>高代</t>
        </is>
      </c>
      <c r="F86" s="420" t="inlineStr">
        <is>
          <t>前川(50)</t>
        </is>
      </c>
      <c r="G86" s="340" t="n"/>
      <c r="H86" s="466" t="n"/>
      <c r="I86" s="131" t="n"/>
      <c r="J86" s="2" t="n"/>
      <c r="K86" s="2" t="n"/>
      <c r="L86" s="2" t="n"/>
      <c r="M86" s="2" t="n"/>
    </row>
    <row r="87">
      <c r="C87" s="2" t="inlineStr">
        <is>
          <t>返還代</t>
        </is>
      </c>
      <c r="F87" s="420" t="inlineStr">
        <is>
          <t>佐藤(50)</t>
        </is>
      </c>
      <c r="G87" s="345" t="n"/>
      <c r="H87" s="466" t="n"/>
      <c r="I87" s="130" t="n"/>
      <c r="J87" s="2" t="n"/>
      <c r="K87" s="2" t="n"/>
      <c r="L87" s="2" t="n"/>
      <c r="M87" s="2" t="n"/>
    </row>
    <row r="88">
      <c r="C88" s="2" t="inlineStr">
        <is>
          <t>回収率</t>
        </is>
      </c>
      <c r="D88" s="50">
        <f>D87/D86</f>
        <v/>
      </c>
      <c r="F88" s="420" t="inlineStr">
        <is>
          <t>末次(55)</t>
        </is>
      </c>
      <c r="G88" s="340" t="n"/>
      <c r="H88" s="466" t="n"/>
      <c r="I88" s="131" t="n"/>
      <c r="J88" s="2" t="n"/>
      <c r="K88" s="2" t="n"/>
      <c r="L88" s="2" t="n"/>
      <c r="M88" s="2" t="n"/>
    </row>
    <row r="89">
      <c r="C89" s="2" t="inlineStr">
        <is>
          <t>費</t>
        </is>
      </c>
      <c r="D89" s="2">
        <f>D86-D87</f>
        <v/>
      </c>
      <c r="F89" s="420" t="inlineStr">
        <is>
          <t>筒井(75)</t>
        </is>
      </c>
      <c r="G89" s="340" t="n"/>
      <c r="H89" s="466" t="n"/>
      <c r="I89" s="131" t="n"/>
      <c r="J89" s="2" t="n"/>
      <c r="K89" s="2" t="n"/>
      <c r="L89" s="2" t="n"/>
      <c r="M89" s="2" t="n"/>
    </row>
    <row r="90">
      <c r="F90" s="420" t="inlineStr">
        <is>
          <t>山岸(40)</t>
        </is>
      </c>
      <c r="G90" s="340" t="n"/>
      <c r="H90" s="466" t="n"/>
      <c r="I90" s="131" t="n"/>
      <c r="J90" s="2" t="n"/>
      <c r="K90" s="2" t="n"/>
      <c r="L90" s="2" t="n"/>
      <c r="M90" s="2" t="n"/>
    </row>
    <row r="91" ht="23.25" customHeight="1" s="462">
      <c r="B91" s="71" t="n"/>
      <c r="F91" s="420" t="inlineStr">
        <is>
          <t>多苗(30)</t>
        </is>
      </c>
      <c r="G91" s="340" t="n"/>
      <c r="H91" s="466" t="n"/>
      <c r="I91" s="131" t="n"/>
      <c r="J91" s="2" t="n"/>
      <c r="K91" s="2" t="n"/>
      <c r="L91" s="2" t="inlineStr">
        <is>
          <t> </t>
        </is>
      </c>
      <c r="M91" s="2" t="n"/>
    </row>
    <row r="92">
      <c r="J92" s="2" t="n"/>
      <c r="K92" s="2" t="n"/>
      <c r="L92" s="2" t="n"/>
      <c r="M92" s="2" t="n"/>
    </row>
    <row r="93">
      <c r="J93" s="2" t="n"/>
      <c r="K93" s="2" t="n"/>
      <c r="L93" s="2" t="n"/>
      <c r="M93" s="2" t="n"/>
    </row>
  </sheetData>
  <mergeCells count="58">
    <mergeCell ref="D71:J71"/>
    <mergeCell ref="E50:F50"/>
    <mergeCell ref="K54:K55"/>
    <mergeCell ref="Q7:R7"/>
    <mergeCell ref="F80:F81"/>
    <mergeCell ref="Q3:R3"/>
    <mergeCell ref="E55:F55"/>
    <mergeCell ref="E62:F62"/>
    <mergeCell ref="G86:H86"/>
    <mergeCell ref="D74:J74"/>
    <mergeCell ref="K51:K52"/>
    <mergeCell ref="Q37:R37"/>
    <mergeCell ref="D80:D81"/>
    <mergeCell ref="D73:J73"/>
    <mergeCell ref="E52:F52"/>
    <mergeCell ref="E51:F51"/>
    <mergeCell ref="B2:C2"/>
    <mergeCell ref="C80:C81"/>
    <mergeCell ref="H54:J55"/>
    <mergeCell ref="Q5:R5"/>
    <mergeCell ref="E63:F63"/>
    <mergeCell ref="D69:J69"/>
    <mergeCell ref="Q10:R10"/>
    <mergeCell ref="Q35:R35"/>
    <mergeCell ref="Q4:R4"/>
    <mergeCell ref="E65:F65"/>
    <mergeCell ref="G80:J81"/>
    <mergeCell ref="G87:H87"/>
    <mergeCell ref="Q31:R31"/>
    <mergeCell ref="G83:H83"/>
    <mergeCell ref="Q34:R34"/>
    <mergeCell ref="H49:J50"/>
    <mergeCell ref="E49:F49"/>
    <mergeCell ref="C82:C83"/>
    <mergeCell ref="Q46:R46"/>
    <mergeCell ref="D77:J77"/>
    <mergeCell ref="G89:H89"/>
    <mergeCell ref="H51:J52"/>
    <mergeCell ref="Q36:R36"/>
    <mergeCell ref="G88:H88"/>
    <mergeCell ref="D76:J76"/>
    <mergeCell ref="E57:F57"/>
    <mergeCell ref="G91:H91"/>
    <mergeCell ref="E54:F54"/>
    <mergeCell ref="D70:J70"/>
    <mergeCell ref="G85:H85"/>
    <mergeCell ref="D82:D83"/>
    <mergeCell ref="D75:J75"/>
    <mergeCell ref="Q45:R45"/>
    <mergeCell ref="G90:H90"/>
    <mergeCell ref="K49:K50"/>
    <mergeCell ref="Q32:R32"/>
    <mergeCell ref="E53:F53"/>
    <mergeCell ref="E66:F66"/>
    <mergeCell ref="D72:J72"/>
    <mergeCell ref="G84:H84"/>
    <mergeCell ref="E56:F56"/>
    <mergeCell ref="D84:D85"/>
  </mergeCells>
  <conditionalFormatting sqref="K51:K52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46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45">
    <cfRule type="cellIs" priority="1" operator="greaterThan" dxfId="0">
      <formula>30</formula>
    </cfRule>
  </conditionalFormatting>
  <conditionalFormatting sqref="D5:D54">
    <cfRule type="containsText" priority="7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39"/>
</worksheet>
</file>

<file path=xl/worksheets/sheet56.xml><?xml version="1.0" encoding="utf-8"?>
<worksheet xmlns="http://schemas.openxmlformats.org/spreadsheetml/2006/main">
  <sheetPr codeName="Sheet55">
    <tabColor rgb="FF00B0F0"/>
    <outlinePr summaryBelow="1" summaryRight="1"/>
    <pageSetUpPr fitToPage="1"/>
  </sheetPr>
  <dimension ref="A1:R75"/>
  <sheetViews>
    <sheetView zoomScaleNormal="100" workbookViewId="0">
      <selection activeCell="B2" sqref="B2:C2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2"/>
    <col width="8.75" customWidth="1" style="449" min="13" max="13"/>
    <col width="8.75" customWidth="1" style="2" min="14" max="16384"/>
  </cols>
  <sheetData>
    <row r="1"/>
    <row r="2" ht="15" customHeight="1" s="462" thickBot="1">
      <c r="B2" s="496" t="n">
        <v>46203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4" t="n"/>
      <c r="I4" s="54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63" t="n"/>
      <c r="D5" s="441" t="n"/>
      <c r="E5" s="441" t="n"/>
      <c r="F5" s="57" t="n"/>
      <c r="G5" s="65" t="n"/>
      <c r="H5" s="74" t="n"/>
      <c r="I5" s="298">
        <f>IFERROR(_xlfn.XLOOKUP(H5,案件・ドライバー一覧!$L$3:$L$17,案件・ドライバー一覧!$M$3:$M$17,""),"")</f>
        <v/>
      </c>
      <c r="J5" s="420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63" t="n"/>
      <c r="D6" s="441" t="n"/>
      <c r="E6" s="441" t="n"/>
      <c r="F6" s="57" t="n"/>
      <c r="G6" s="65" t="n"/>
      <c r="H6" s="74" t="n"/>
      <c r="I6" s="299">
        <f>IFERROR(_xlfn.XLOOKUP(H6,案件・ドライバー一覧!$L$3:$L$17,案件・ドライバー一覧!$M$3:$M$17,""),"")</f>
        <v/>
      </c>
      <c r="J6" s="57" t="n"/>
      <c r="K6" s="72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N6" s="449" t="n"/>
      <c r="O6" s="449" t="n"/>
      <c r="P6" s="449" t="n"/>
      <c r="Q6" s="449" t="n"/>
      <c r="R6" s="449" t="n"/>
    </row>
    <row r="7" ht="27" customHeight="1" s="462">
      <c r="A7" s="423">
        <f>IF(B7="","",COUNTA($B$5:B7))</f>
        <v/>
      </c>
      <c r="B7" s="57" t="n"/>
      <c r="C7" s="63" t="n"/>
      <c r="D7" s="441" t="n"/>
      <c r="E7" s="441" t="n"/>
      <c r="F7" s="57" t="n"/>
      <c r="G7" s="65" t="n"/>
      <c r="H7" s="74" t="n"/>
      <c r="I7" s="299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3" t="n"/>
      <c r="D8" s="441" t="n"/>
      <c r="E8" s="441" t="n"/>
      <c r="F8" s="57" t="n"/>
      <c r="G8" s="65" t="n"/>
      <c r="H8" s="74" t="n"/>
      <c r="I8" s="80" t="n"/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74" t="n"/>
      <c r="I9" s="80" t="n"/>
      <c r="J9" s="57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  <c r="R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74" t="n"/>
      <c r="I10" s="80" t="n"/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74" t="n"/>
      <c r="I11" s="80" t="n"/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16.5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74" t="n"/>
      <c r="I12" s="80" t="n"/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4" t="n"/>
      <c r="D13" s="441" t="n"/>
      <c r="E13" s="63" t="n"/>
      <c r="F13" s="441" t="n"/>
      <c r="G13" s="59" t="n"/>
      <c r="H13" s="74" t="n"/>
      <c r="I13" s="80" t="n"/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74" t="n"/>
      <c r="I14" s="80" t="n"/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27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74" t="n"/>
      <c r="I15" s="80" t="n"/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74" t="n"/>
      <c r="I16" s="80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74" t="n"/>
      <c r="I17" s="80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74" t="n"/>
      <c r="I18" s="80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63" t="n"/>
      <c r="D19" s="441" t="n"/>
      <c r="E19" s="441" t="n"/>
      <c r="F19" s="57" t="n"/>
      <c r="G19" s="65" t="n"/>
      <c r="H19" s="74" t="n"/>
      <c r="I19" s="80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15" customHeight="1" s="462">
      <c r="A20" s="423">
        <f>IF(B20="","",COUNTA($B$5:B20))</f>
        <v/>
      </c>
      <c r="B20" s="57" t="n"/>
      <c r="C20" s="62" t="n"/>
      <c r="D20" s="63" t="n"/>
      <c r="E20" s="441" t="n"/>
      <c r="F20" s="57" t="n"/>
      <c r="G20" s="66" t="n"/>
      <c r="H20" s="74" t="n"/>
      <c r="I20" s="80" t="n"/>
      <c r="J20" s="57" t="n"/>
      <c r="K20" s="73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</row>
    <row r="21" ht="27" customHeight="1" s="462">
      <c r="A21" s="423">
        <f>IF(B21="","",COUNTA($B$5:B21))</f>
        <v/>
      </c>
      <c r="B21" s="57" t="n"/>
      <c r="C21" s="63" t="n"/>
      <c r="D21" s="64" t="n"/>
      <c r="E21" s="420" t="n"/>
      <c r="F21" s="57" t="n"/>
      <c r="G21" s="66" t="n"/>
      <c r="H21" s="74" t="n"/>
      <c r="I21" s="74" t="n"/>
      <c r="J21" s="420" t="n"/>
      <c r="K21" s="73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</row>
    <row r="22" ht="27" customHeight="1" s="462">
      <c r="A22" s="423">
        <f>IF(B22="","",COUNTA($B$5:B22))</f>
        <v/>
      </c>
      <c r="B22" s="57" t="n"/>
      <c r="C22" s="420" t="n"/>
      <c r="D22" s="63" t="n"/>
      <c r="E22" s="441" t="n"/>
      <c r="F22" s="57" t="n"/>
      <c r="G22" s="65" t="n"/>
      <c r="H22" s="74" t="n"/>
      <c r="I22" s="80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</row>
    <row r="23" ht="27" customHeight="1" s="462">
      <c r="A23" s="423">
        <f>IF(B23="","",COUNTA($B$5:B23))</f>
        <v/>
      </c>
      <c r="B23" s="57" t="n"/>
      <c r="C23" s="57" t="n"/>
      <c r="D23" s="441" t="n"/>
      <c r="E23" s="441" t="n"/>
      <c r="F23" s="57" t="n"/>
      <c r="G23" s="66" t="n"/>
      <c r="H23" s="74" t="n"/>
      <c r="I23" s="80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</row>
    <row r="24" ht="27" customHeight="1" s="462">
      <c r="A24" s="423">
        <f>IF(B24="","",COUNTA($B$5:B24))</f>
        <v/>
      </c>
      <c r="B24" s="441" t="n"/>
      <c r="C24" s="440" t="n"/>
      <c r="D24" s="441" t="n"/>
      <c r="E24" s="440" t="n"/>
      <c r="F24" s="57" t="n"/>
      <c r="G24" s="65" t="n"/>
      <c r="H24" s="74" t="n"/>
      <c r="I24" s="74" t="n"/>
      <c r="J24" s="420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</row>
    <row r="25" ht="27" customHeight="1" s="462">
      <c r="A25" s="423">
        <f>IF(B25="","",COUNTA($B$5:B25))</f>
        <v/>
      </c>
      <c r="B25" s="441" t="n"/>
      <c r="C25" s="63" t="n"/>
      <c r="D25" s="440" t="n"/>
      <c r="E25" s="441" t="n"/>
      <c r="F25" s="57" t="n"/>
      <c r="G25" s="59" t="n"/>
      <c r="H25" s="60" t="n"/>
      <c r="I25" s="60" t="n"/>
      <c r="J25" s="57" t="n"/>
      <c r="K25" s="73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</row>
    <row r="26" ht="27" customHeight="1" s="462">
      <c r="A26" s="423">
        <f>IF(B26="","",COUNTA($B$5:B26))</f>
        <v/>
      </c>
      <c r="B26" s="441" t="n"/>
      <c r="C26" s="63" t="n"/>
      <c r="D26" s="440" t="n"/>
      <c r="E26" s="441" t="n"/>
      <c r="F26" s="57" t="n"/>
      <c r="G26" s="59" t="n"/>
      <c r="H26" s="60" t="n"/>
      <c r="I26" s="60" t="n"/>
      <c r="J26" s="57" t="n"/>
      <c r="K26" s="73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441" t="n"/>
      <c r="C27" s="63" t="n"/>
      <c r="D27" s="440" t="n"/>
      <c r="E27" s="441" t="n"/>
      <c r="F27" s="57" t="n"/>
      <c r="G27" s="59" t="n"/>
      <c r="H27" s="60" t="n"/>
      <c r="I27" s="60" t="n"/>
      <c r="J27" s="57" t="n"/>
      <c r="K27" s="73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27.75" customHeight="1" s="462">
      <c r="A28" s="423">
        <f>IF(B28="","",COUNTA($B$5:B28))</f>
        <v/>
      </c>
      <c r="B28" s="420" t="n"/>
      <c r="C28" s="420" t="n"/>
      <c r="D28" s="420" t="n"/>
      <c r="E28" s="420" t="n"/>
      <c r="F28" s="420" t="n"/>
      <c r="G28" s="69" t="n"/>
      <c r="H28" s="70" t="n"/>
      <c r="I28" s="70" t="n"/>
      <c r="J28" s="420" t="n"/>
      <c r="K28" s="22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</row>
    <row r="29" ht="27" customHeight="1" s="462">
      <c r="B29" s="18" t="n"/>
      <c r="C29" s="18" t="n"/>
      <c r="D29" s="18" t="n"/>
      <c r="E29" s="18" t="n"/>
      <c r="F29" s="18" t="n"/>
      <c r="G29" s="19" t="n"/>
      <c r="H29" s="33" t="n"/>
      <c r="I29" s="18" t="n"/>
      <c r="J29" s="18" t="n"/>
      <c r="K29" s="18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29" s="2" t="n"/>
    </row>
    <row r="30" ht="27" customHeight="1" s="462" thickBot="1">
      <c r="K30" s="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30" s="2" t="n"/>
    </row>
    <row r="31" ht="27" customHeight="1" s="462">
      <c r="B31" s="22" t="n"/>
      <c r="C31" s="25" t="n"/>
      <c r="D31" s="25" t="inlineStr">
        <is>
          <t>現在待機場所</t>
        </is>
      </c>
      <c r="E31" s="25" t="inlineStr">
        <is>
          <t>待機予定場所</t>
        </is>
      </c>
      <c r="F31" s="466" t="n"/>
      <c r="H31" s="375" t="inlineStr">
        <is>
          <t>目標距離</t>
        </is>
      </c>
      <c r="I31" s="465" t="n"/>
      <c r="J31" s="467" t="n"/>
      <c r="K31" s="377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31" s="2" t="n"/>
    </row>
    <row r="32" ht="27" customHeight="1" s="462" thickBot="1">
      <c r="B32" s="26" t="inlineStr">
        <is>
          <t>2(255)</t>
        </is>
      </c>
      <c r="C32" s="21" t="inlineStr">
        <is>
          <t>山岸</t>
        </is>
      </c>
      <c r="D32" s="34" t="n"/>
      <c r="E32" s="34" t="n"/>
      <c r="F32" s="466" t="n"/>
      <c r="H32" s="468" t="n"/>
      <c r="I32" s="477" t="n"/>
      <c r="J32" s="469" t="n"/>
      <c r="K32" s="470" t="n"/>
      <c r="M32" s="2" t="n"/>
    </row>
    <row r="33">
      <c r="B33" s="26" t="inlineStr">
        <is>
          <t>8(254)</t>
        </is>
      </c>
      <c r="C33" s="21" t="inlineStr">
        <is>
          <t>砂川</t>
        </is>
      </c>
      <c r="D33" s="35" t="n"/>
      <c r="E33" s="35" t="n"/>
      <c r="F33" s="466" t="n"/>
      <c r="H33" s="368" t="inlineStr">
        <is>
          <t>残距離</t>
        </is>
      </c>
      <c r="J33" s="471" t="n"/>
      <c r="K33" s="354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33" s="2" t="n"/>
    </row>
    <row r="34" ht="14.25" customHeight="1" s="462" thickBot="1">
      <c r="B34" s="26" t="inlineStr">
        <is>
          <t>9(256)</t>
        </is>
      </c>
      <c r="C34" s="21" t="inlineStr">
        <is>
          <t>前川</t>
        </is>
      </c>
      <c r="D34" s="35" t="n"/>
      <c r="E34" s="35" t="n"/>
      <c r="F34" s="466" t="n"/>
      <c r="H34" s="468" t="n"/>
      <c r="I34" s="477" t="n"/>
      <c r="J34" s="469" t="n"/>
      <c r="K34" s="472" t="n"/>
      <c r="M34" s="2" t="n"/>
    </row>
    <row r="35" ht="14.25" customHeight="1" s="462" thickBot="1">
      <c r="B35" s="26" t="inlineStr">
        <is>
          <t>10(257)</t>
        </is>
      </c>
      <c r="C35" s="35" t="n"/>
      <c r="D35" s="35" t="n"/>
      <c r="E35" s="35" t="n"/>
      <c r="F35" s="466" t="n"/>
      <c r="K35" s="2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35" s="2" t="n"/>
    </row>
    <row r="36">
      <c r="B36" s="26" t="inlineStr">
        <is>
          <t>11(258)</t>
        </is>
      </c>
      <c r="C36" s="21" t="inlineStr">
        <is>
          <t>郡司</t>
        </is>
      </c>
      <c r="D36" s="35" t="n"/>
      <c r="E36" s="35" t="n"/>
      <c r="F36" s="466" t="n"/>
      <c r="H36" s="350" t="inlineStr">
        <is>
          <t>依頼件数</t>
        </is>
      </c>
      <c r="I36" s="465" t="n"/>
      <c r="J36" s="467" t="n"/>
      <c r="K36" s="354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36" s="2" t="n"/>
    </row>
    <row r="37" ht="14.25" customHeight="1" s="462" thickBot="1">
      <c r="B37" s="26" t="inlineStr">
        <is>
          <t>12(736)</t>
        </is>
      </c>
      <c r="C37" s="21" t="n"/>
      <c r="D37" s="35" t="n"/>
      <c r="E37" s="35" t="n"/>
      <c r="F37" s="466" t="n"/>
      <c r="H37" s="468" t="n"/>
      <c r="I37" s="477" t="n"/>
      <c r="J37" s="469" t="n"/>
      <c r="K37" s="472" t="n"/>
      <c r="M37" s="2" t="n"/>
    </row>
    <row r="38" ht="17.25" customHeight="1" s="462">
      <c r="B38" s="26" t="inlineStr">
        <is>
          <t>13(737)</t>
        </is>
      </c>
      <c r="C38" s="21" t="n"/>
      <c r="D38" s="35" t="n"/>
      <c r="E38" s="35" t="n"/>
      <c r="F38" s="466" t="n"/>
      <c r="H38" s="38" t="n"/>
      <c r="I38" s="38" t="n"/>
      <c r="J38" s="38" t="n"/>
      <c r="K38" s="39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38" s="2" t="n"/>
    </row>
    <row r="39" ht="17.25" customHeight="1" s="462">
      <c r="B39" s="40" t="inlineStr">
        <is>
          <t>14(738)</t>
        </is>
      </c>
      <c r="C39" s="21" t="inlineStr">
        <is>
          <t>辻井</t>
        </is>
      </c>
      <c r="D39" s="35" t="n"/>
      <c r="E39" s="35" t="n"/>
      <c r="F39" s="466" t="n"/>
      <c r="H39" s="38" t="n"/>
      <c r="I39" s="38" t="n"/>
      <c r="J39" s="38" t="n"/>
      <c r="K39" s="39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39" s="2" t="n"/>
    </row>
    <row r="40" ht="17.25" customHeight="1" s="462">
      <c r="B40" s="41" t="n"/>
      <c r="C40" s="42" t="n"/>
      <c r="D40" s="43" t="n"/>
      <c r="E40" s="44" t="n"/>
      <c r="F40" s="349" t="n"/>
      <c r="H40" s="38" t="n"/>
      <c r="I40" s="38" t="n"/>
      <c r="J40" s="38" t="n"/>
      <c r="K40" s="39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0" s="2" t="n"/>
    </row>
    <row r="41" ht="17.25" customHeight="1" s="462">
      <c r="B41" s="45" t="n">
        <v>7290</v>
      </c>
      <c r="C41" s="21" t="inlineStr">
        <is>
          <t>佐藤</t>
        </is>
      </c>
      <c r="D41" s="35" t="n"/>
      <c r="E41" s="348" t="n"/>
      <c r="F41" s="349" t="n"/>
      <c r="H41" s="38" t="n"/>
      <c r="I41" s="38" t="n"/>
      <c r="J41" s="38" t="n"/>
      <c r="K41" s="39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1" s="2" t="n"/>
    </row>
    <row r="42" ht="16.5" customHeight="1" s="462">
      <c r="B42" s="45" t="n">
        <v>7291</v>
      </c>
      <c r="C42" s="21" t="inlineStr">
        <is>
          <t>末次</t>
        </is>
      </c>
      <c r="D42" s="35" t="n"/>
      <c r="E42" s="348" t="n"/>
      <c r="F42" s="349" t="n"/>
      <c r="H42" s="38" t="n"/>
      <c r="I42" s="38" t="n"/>
      <c r="J42" s="38" t="n"/>
      <c r="K42" s="39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2" s="2" t="n"/>
    </row>
    <row r="43" ht="16.5" customHeight="1" s="462">
      <c r="B43" s="41" t="n"/>
      <c r="C43" s="42" t="n"/>
      <c r="D43" s="44" t="n"/>
      <c r="E43" s="44" t="n"/>
      <c r="F43" s="349" t="n"/>
      <c r="H43" s="38" t="n"/>
      <c r="I43" s="38" t="n"/>
      <c r="J43" s="38" t="n"/>
      <c r="K43" s="39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3" s="2" t="n"/>
    </row>
    <row r="44" ht="8.25" customHeight="1" s="462">
      <c r="B44" s="45" t="n">
        <v>333</v>
      </c>
      <c r="C44" s="21" t="inlineStr">
        <is>
          <t>金井/奥田</t>
        </is>
      </c>
      <c r="D44" s="35" t="n"/>
      <c r="E44" s="484" t="n"/>
      <c r="F44" s="469" t="n"/>
      <c r="H44" s="38" t="n"/>
      <c r="I44" s="38" t="n"/>
      <c r="J44" s="38" t="n"/>
      <c r="K44" s="39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4" s="2" t="n"/>
    </row>
    <row r="45" ht="17.25" customHeight="1" s="462">
      <c r="B45" s="46" t="n">
        <v>666</v>
      </c>
      <c r="C45" s="21" t="inlineStr">
        <is>
          <t>徳留</t>
        </is>
      </c>
      <c r="D45" s="35" t="n"/>
      <c r="E45" s="35" t="n"/>
      <c r="F45" s="466" t="n"/>
      <c r="H45" s="38" t="n"/>
      <c r="I45" s="38" t="n"/>
      <c r="J45" s="38" t="n"/>
      <c r="K45" s="39">
        <f t="array" ref="K45">IF(OR(H45="",L45=""),"",IFERROR(_xlfn.LET(_xlpm.vt,VLOOKUP(IFERROR(VALUE(LEFT(H45,FIND("＊",H45&amp;"＊")-1)),H45),運賃マスター!$A$22:$B$40,2,FALSE),_xlpm.d,L45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5" s="2" t="n"/>
    </row>
    <row r="46" ht="17.25" customHeight="1" s="462">
      <c r="B46" s="46" t="n">
        <v>777</v>
      </c>
      <c r="C46" s="21" t="n"/>
      <c r="D46" s="35" t="n"/>
      <c r="E46" s="348" t="n"/>
      <c r="F46" s="349" t="n"/>
      <c r="H46" s="38" t="n"/>
      <c r="I46" s="38" t="n"/>
      <c r="J46" s="38" t="n"/>
      <c r="K46" s="39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6" s="2" t="n"/>
    </row>
    <row r="47" ht="9" customHeight="1" s="462">
      <c r="B47" s="47" t="n">
        <v>330</v>
      </c>
      <c r="C47" s="21" t="n"/>
      <c r="D47" s="35" t="n"/>
      <c r="E47" s="35" t="n"/>
      <c r="F47" s="466" t="n"/>
      <c r="H47" s="38" t="n"/>
      <c r="I47" s="38" t="n"/>
      <c r="J47" s="38" t="n"/>
      <c r="K47" s="39">
        <f t="array" ref="K47">IF(OR(H47="",L47=""),"",IFERROR(_xlfn.LET(_xlpm.vt,VLOOKUP(IFERROR(VALUE(LEFT(H47,FIND("＊",H47&amp;"＊")-1)),H47),運賃マスター!$A$22:$B$40,2,FALSE),_xlpm.d,L47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7" s="2" t="n"/>
    </row>
    <row r="48" ht="16.5" customHeight="1" s="462">
      <c r="B48" s="47" t="n">
        <v>990</v>
      </c>
      <c r="C48" s="21" t="inlineStr">
        <is>
          <t>山原</t>
        </is>
      </c>
      <c r="D48" s="35" t="n"/>
      <c r="E48" s="35" t="n"/>
      <c r="F48" s="466" t="n"/>
      <c r="H48" s="38" t="n"/>
      <c r="I48" s="38" t="n"/>
      <c r="J48" s="38" t="n"/>
      <c r="K48" s="39" t="n"/>
      <c r="M48" s="2" t="n"/>
    </row>
    <row r="49" ht="16.5" customHeight="1" s="462">
      <c r="K49" s="2" t="n"/>
      <c r="M49" s="2" t="n"/>
    </row>
    <row r="50" ht="16.5" customHeight="1" s="462">
      <c r="C50" s="449" t="inlineStr">
        <is>
          <t>出発→到着</t>
        </is>
      </c>
      <c r="D50" s="420" t="inlineStr">
        <is>
          <t>備考</t>
        </is>
      </c>
      <c r="K50" s="2" t="n"/>
      <c r="M50" s="2" t="n"/>
    </row>
    <row r="51" ht="16.5" customHeight="1" s="462">
      <c r="B51" s="27" t="inlineStr">
        <is>
          <t>①</t>
        </is>
      </c>
      <c r="C51" s="449" t="inlineStr">
        <is>
          <t>東→西</t>
        </is>
      </c>
      <c r="D51" s="485" t="inlineStr">
        <is>
          <t>①Aチーム優先</t>
        </is>
      </c>
      <c r="E51" s="486" t="n"/>
      <c r="F51" s="486" t="n"/>
      <c r="G51" s="486" t="n"/>
      <c r="H51" s="486" t="n"/>
      <c r="I51" s="486" t="n"/>
      <c r="J51" s="466" t="n"/>
      <c r="K51" s="2" t="n"/>
      <c r="M51" s="2" t="n"/>
    </row>
    <row r="52" ht="16.5" customHeight="1" s="462">
      <c r="B52" s="27" t="inlineStr">
        <is>
          <t>②</t>
        </is>
      </c>
      <c r="C52" s="449" t="inlineStr">
        <is>
          <t>東→東</t>
        </is>
      </c>
      <c r="D52" s="485" t="inlineStr">
        <is>
          <t>②急ぎ案件の場合、道路状況も伝えてあげる。</t>
        </is>
      </c>
      <c r="E52" s="486" t="n"/>
      <c r="F52" s="486" t="n"/>
      <c r="G52" s="486" t="n"/>
      <c r="H52" s="486" t="n"/>
      <c r="I52" s="486" t="n"/>
      <c r="J52" s="466" t="n"/>
      <c r="K52" s="2" t="n"/>
      <c r="M52" s="2" t="n"/>
    </row>
    <row r="53">
      <c r="B53" s="27" t="inlineStr">
        <is>
          <t>③</t>
        </is>
      </c>
      <c r="C53" s="449" t="inlineStr">
        <is>
          <t>西→東</t>
        </is>
      </c>
      <c r="D53" s="485" t="inlineStr">
        <is>
          <t>③各ドライバーの位置からの帰社のタイミング・夕方の配置</t>
        </is>
      </c>
      <c r="E53" s="486" t="n"/>
      <c r="F53" s="486" t="n"/>
      <c r="G53" s="486" t="n"/>
      <c r="H53" s="486" t="n"/>
      <c r="I53" s="486" t="n"/>
      <c r="J53" s="466" t="n"/>
      <c r="K53" s="2" t="n"/>
      <c r="M53" s="2" t="n"/>
    </row>
    <row r="54">
      <c r="B54" s="27" t="inlineStr">
        <is>
          <t>④</t>
        </is>
      </c>
      <c r="C54" s="449" t="inlineStr">
        <is>
          <t>西→西</t>
        </is>
      </c>
      <c r="D54" s="485" t="inlineStr">
        <is>
          <t>④依頼を受ける際の、希望時間と現状の位置。行けるか行けないかの判断をしっかりと。</t>
        </is>
      </c>
      <c r="E54" s="486" t="n"/>
      <c r="F54" s="486" t="n"/>
      <c r="G54" s="486" t="n"/>
      <c r="H54" s="486" t="n"/>
      <c r="I54" s="486" t="n"/>
      <c r="J54" s="466" t="n"/>
      <c r="K54" s="2" t="n"/>
      <c r="M54" s="2" t="n"/>
    </row>
    <row r="55">
      <c r="D55" s="485" t="inlineStr">
        <is>
          <t>⑤軽に乗るか乗らないかの判断に気を付ける。</t>
        </is>
      </c>
      <c r="E55" s="486" t="n"/>
      <c r="F55" s="486" t="n"/>
      <c r="G55" s="486" t="n"/>
      <c r="H55" s="486" t="n"/>
      <c r="I55" s="486" t="n"/>
      <c r="J55" s="466" t="n"/>
      <c r="K55" s="2" t="n"/>
      <c r="M55" s="2" t="n"/>
    </row>
    <row r="56">
      <c r="B56" s="22" t="n"/>
      <c r="C56" s="420" t="inlineStr">
        <is>
          <t>現状配置(予測)</t>
        </is>
      </c>
      <c r="D56" s="485" t="inlineStr">
        <is>
          <t>⑥18/1日、1.8/1人、3件/1人</t>
        </is>
      </c>
      <c r="E56" s="486" t="n"/>
      <c r="F56" s="486" t="n"/>
      <c r="G56" s="486" t="n"/>
      <c r="H56" s="486" t="n"/>
      <c r="I56" s="486" t="n"/>
      <c r="J56" s="466" t="n"/>
      <c r="K56" s="2" t="n"/>
      <c r="M56" s="2" t="n"/>
    </row>
    <row r="57">
      <c r="B57" s="420" t="inlineStr">
        <is>
          <t>西(神戸西・弥栄台)</t>
        </is>
      </c>
      <c r="C57" s="420" t="n"/>
      <c r="D57" s="485" t="inlineStr">
        <is>
          <t>⑦依頼書の見落とし(日付、入替、入出庫、場所）</t>
        </is>
      </c>
      <c r="E57" s="486" t="n"/>
      <c r="F57" s="486" t="n"/>
      <c r="G57" s="486" t="n"/>
      <c r="H57" s="486" t="n"/>
      <c r="I57" s="486" t="n"/>
      <c r="J57" s="466" t="n"/>
      <c r="K57" s="2" t="n"/>
      <c r="M57" s="2" t="n"/>
    </row>
    <row r="58">
      <c r="B58" s="420" t="inlineStr">
        <is>
          <t>真ん中(摩耶・中央)</t>
        </is>
      </c>
      <c r="C58" s="420" t="n"/>
      <c r="D58" s="485" t="inlineStr">
        <is>
          <t>⑧3ｔ車と2ｔ車への振り方(西と東に振り分ける)</t>
        </is>
      </c>
      <c r="E58" s="486" t="n"/>
      <c r="F58" s="486" t="n"/>
      <c r="G58" s="486" t="n"/>
      <c r="H58" s="486" t="n"/>
      <c r="I58" s="486" t="n"/>
      <c r="J58" s="466" t="n"/>
      <c r="K58" s="2" t="n"/>
      <c r="M58" s="2" t="n"/>
    </row>
    <row r="59">
      <c r="B59" s="420" t="inlineStr">
        <is>
          <t>東(尼崎・伊丹・西宮)</t>
        </is>
      </c>
      <c r="C59" s="420" t="n"/>
      <c r="D59" s="485" t="inlineStr">
        <is>
          <t>⑨</t>
        </is>
      </c>
      <c r="E59" s="486" t="n"/>
      <c r="F59" s="486" t="n"/>
      <c r="G59" s="486" t="n"/>
      <c r="H59" s="486" t="n"/>
      <c r="I59" s="486" t="n"/>
      <c r="J59" s="466" t="n"/>
      <c r="K59" s="2" t="n"/>
      <c r="M59" s="2" t="n"/>
    </row>
    <row r="60">
      <c r="B60" s="48" t="inlineStr">
        <is>
          <t>極東(港区・淀屋橋)</t>
        </is>
      </c>
      <c r="C60" s="420" t="n"/>
      <c r="D60" s="49" t="n"/>
      <c r="E60" s="49" t="n"/>
      <c r="F60" s="49" t="n"/>
      <c r="G60" s="49" t="n"/>
      <c r="H60" s="49" t="n"/>
      <c r="I60" s="49" t="n"/>
      <c r="J60" s="49" t="n"/>
      <c r="K60" s="2" t="n"/>
      <c r="M60" s="2" t="n"/>
    </row>
    <row r="61" ht="14.25" customHeight="1" s="462" thickBot="1">
      <c r="K61" s="2" t="n"/>
      <c r="M61" s="2" t="n"/>
    </row>
    <row r="62">
      <c r="C62" s="473" t="inlineStr">
        <is>
          <t>合計額/380</t>
        </is>
      </c>
      <c r="D62" s="358">
        <f>SUM(G62)</f>
        <v/>
      </c>
      <c r="F62" s="360" t="inlineStr">
        <is>
          <t>売り上げ額</t>
        </is>
      </c>
      <c r="G62" s="362">
        <f>SUM(SUM(K4:K28))+SUM(#REF!)</f>
        <v/>
      </c>
      <c r="H62" s="465" t="n"/>
      <c r="I62" s="465" t="n"/>
      <c r="J62" s="467" t="n"/>
      <c r="K62" s="2" t="n"/>
      <c r="M62" s="2" t="n"/>
    </row>
    <row r="63" ht="14.25" customHeight="1" s="462" thickBot="1">
      <c r="C63" s="474" t="n"/>
      <c r="D63" s="475" t="n"/>
      <c r="F63" s="468" t="n"/>
      <c r="G63" s="476" t="n"/>
      <c r="H63" s="477" t="n"/>
      <c r="I63" s="477" t="n"/>
      <c r="J63" s="469" t="n"/>
      <c r="K63" s="2" t="n"/>
      <c r="M63" s="2" t="n"/>
    </row>
    <row r="64">
      <c r="C64" s="478" t="inlineStr">
        <is>
          <t>前日までの売上合計額</t>
        </is>
      </c>
      <c r="D64" s="479">
        <f>SUM(B73)</f>
        <v/>
      </c>
      <c r="K64" s="2" t="n"/>
      <c r="M64" s="2" t="n"/>
    </row>
    <row r="65" ht="14.25" customHeight="1" s="462" thickBot="1">
      <c r="C65" s="480" t="n"/>
      <c r="D65" s="480" t="n"/>
      <c r="F65" s="420" t="inlineStr">
        <is>
          <t>金井（55)</t>
        </is>
      </c>
      <c r="G65" s="345" t="n"/>
      <c r="H65" s="466" t="n"/>
      <c r="I65" s="130" t="n"/>
      <c r="K65" s="2" t="n"/>
      <c r="M65" s="2" t="n"/>
    </row>
    <row r="66" ht="14.25" customHeight="1" s="462" thickTop="1">
      <c r="D66" s="346">
        <f>D62+D64</f>
        <v/>
      </c>
      <c r="F66" s="420" t="inlineStr">
        <is>
          <t>粟津(55)</t>
        </is>
      </c>
      <c r="G66" s="340" t="n"/>
      <c r="H66" s="466" t="n"/>
      <c r="I66" s="131" t="n"/>
      <c r="K66" s="2" t="n"/>
      <c r="M66" s="2" t="n"/>
    </row>
    <row r="67">
      <c r="F67" s="420" t="inlineStr">
        <is>
          <t>砂川(50)</t>
        </is>
      </c>
      <c r="G67" s="340" t="n"/>
      <c r="H67" s="466" t="n"/>
      <c r="I67" s="131" t="n"/>
      <c r="K67" s="2" t="n"/>
      <c r="M67" s="2" t="n"/>
    </row>
    <row r="68">
      <c r="C68" s="2" t="inlineStr">
        <is>
          <t>高代</t>
        </is>
      </c>
      <c r="F68" s="420" t="inlineStr">
        <is>
          <t>前川(50)</t>
        </is>
      </c>
      <c r="G68" s="340" t="n"/>
      <c r="H68" s="466" t="n"/>
      <c r="I68" s="131" t="n"/>
      <c r="K68" s="2" t="n"/>
      <c r="M68" s="2" t="n"/>
    </row>
    <row r="69">
      <c r="C69" s="2" t="inlineStr">
        <is>
          <t>返還代</t>
        </is>
      </c>
      <c r="F69" s="420" t="inlineStr">
        <is>
          <t>佐藤(50)</t>
        </is>
      </c>
      <c r="G69" s="345" t="n"/>
      <c r="H69" s="466" t="n"/>
      <c r="I69" s="130" t="n"/>
      <c r="K69" s="2" t="n"/>
      <c r="M69" s="2" t="n"/>
    </row>
    <row r="70">
      <c r="C70" s="2" t="inlineStr">
        <is>
          <t>回収率</t>
        </is>
      </c>
      <c r="D70" s="50">
        <f>D69/D68</f>
        <v/>
      </c>
      <c r="F70" s="420" t="inlineStr">
        <is>
          <t>末次(55)</t>
        </is>
      </c>
      <c r="G70" s="340" t="n"/>
      <c r="H70" s="466" t="n"/>
      <c r="I70" s="131" t="n"/>
      <c r="K70" s="2" t="n"/>
      <c r="M70" s="2" t="n"/>
    </row>
    <row r="71">
      <c r="C71" s="2" t="inlineStr">
        <is>
          <t>費</t>
        </is>
      </c>
      <c r="D71" s="2">
        <f>D68-D69</f>
        <v/>
      </c>
      <c r="F71" s="420" t="inlineStr">
        <is>
          <t>筒井(75)</t>
        </is>
      </c>
      <c r="G71" s="340" t="n"/>
      <c r="H71" s="466" t="n"/>
      <c r="I71" s="131" t="n"/>
      <c r="K71" s="2" t="n"/>
      <c r="M71" s="2" t="n"/>
    </row>
    <row r="72">
      <c r="F72" s="420" t="inlineStr">
        <is>
          <t>山岸(40)</t>
        </is>
      </c>
      <c r="G72" s="340" t="n"/>
      <c r="H72" s="466" t="n"/>
      <c r="I72" s="131" t="n"/>
      <c r="K72" s="2" t="n"/>
      <c r="M72" s="2" t="n"/>
    </row>
    <row r="73" ht="17.25" customHeight="1" s="462">
      <c r="B73" s="71" t="n"/>
      <c r="F73" s="420" t="inlineStr">
        <is>
          <t>多苗(30)</t>
        </is>
      </c>
      <c r="G73" s="340" t="n"/>
      <c r="H73" s="466" t="n"/>
      <c r="I73" s="131" t="n"/>
      <c r="K73" s="2" t="n"/>
      <c r="L73" s="2" t="inlineStr">
        <is>
          <t> </t>
        </is>
      </c>
      <c r="M73" s="2" t="n"/>
    </row>
    <row r="74">
      <c r="K74" s="2" t="n"/>
      <c r="M74" s="2" t="n"/>
    </row>
    <row r="75">
      <c r="K75" s="2" t="n"/>
      <c r="M75" s="2" t="n"/>
    </row>
    <row r="77" ht="23.25" customHeight="1" s="462"/>
  </sheetData>
  <mergeCells count="55">
    <mergeCell ref="K36:K37"/>
    <mergeCell ref="Q25:R25"/>
    <mergeCell ref="Q3:R3"/>
    <mergeCell ref="Q21:R21"/>
    <mergeCell ref="D56:J56"/>
    <mergeCell ref="K33:K34"/>
    <mergeCell ref="D58:J58"/>
    <mergeCell ref="E33:F33"/>
    <mergeCell ref="Q28:R28"/>
    <mergeCell ref="G71:H71"/>
    <mergeCell ref="Q24:R24"/>
    <mergeCell ref="G67:H67"/>
    <mergeCell ref="D55:J55"/>
    <mergeCell ref="E48:F48"/>
    <mergeCell ref="G70:H70"/>
    <mergeCell ref="E39:F39"/>
    <mergeCell ref="H33:J34"/>
    <mergeCell ref="D51:J51"/>
    <mergeCell ref="E44:F44"/>
    <mergeCell ref="E35:F35"/>
    <mergeCell ref="B2:C2"/>
    <mergeCell ref="D54:J54"/>
    <mergeCell ref="E38:F38"/>
    <mergeCell ref="G62:J63"/>
    <mergeCell ref="D66:D67"/>
    <mergeCell ref="D59:J59"/>
    <mergeCell ref="Q5:R5"/>
    <mergeCell ref="Q20:R20"/>
    <mergeCell ref="Q23:R23"/>
    <mergeCell ref="G66:H66"/>
    <mergeCell ref="K31:K32"/>
    <mergeCell ref="G69:H69"/>
    <mergeCell ref="E31:F31"/>
    <mergeCell ref="Q4:R4"/>
    <mergeCell ref="D62:D63"/>
    <mergeCell ref="E34:F34"/>
    <mergeCell ref="F62:F63"/>
    <mergeCell ref="H31:J32"/>
    <mergeCell ref="G68:H68"/>
    <mergeCell ref="D52:J52"/>
    <mergeCell ref="E45:F45"/>
    <mergeCell ref="D64:D65"/>
    <mergeCell ref="D57:J57"/>
    <mergeCell ref="E36:F36"/>
    <mergeCell ref="Q22:R22"/>
    <mergeCell ref="G65:H65"/>
    <mergeCell ref="H36:J37"/>
    <mergeCell ref="C62:C63"/>
    <mergeCell ref="G73:H73"/>
    <mergeCell ref="E32:F32"/>
    <mergeCell ref="D53:J53"/>
    <mergeCell ref="E37:F37"/>
    <mergeCell ref="C64:C65"/>
    <mergeCell ref="E47:F47"/>
    <mergeCell ref="G72:H72"/>
  </mergeCells>
  <conditionalFormatting sqref="K33:K34">
    <cfRule type="cellIs" priority="1" operator="lessThan" dxfId="7">
      <formula>-90</formula>
    </cfRule>
    <cfRule type="cellIs" priority="2" operator="lessThan" dxfId="7">
      <formula>0</formula>
    </cfRule>
  </conditionalFormatting>
  <conditionalFormatting sqref="L3">
    <cfRule type="cellIs" priority="4" operator="greaterThan" dxfId="6">
      <formula>30</formula>
    </cfRule>
    <cfRule type="cellIs" priority="5" operator="greaterThan" dxfId="5">
      <formula>30</formula>
    </cfRule>
  </conditionalFormatting>
  <conditionalFormatting sqref="L3:L28">
    <cfRule type="cellIs" priority="3" operator="greaterThan" dxfId="0">
      <formula>30</formula>
    </cfRule>
  </conditionalFormatting>
  <conditionalFormatting sqref="D5:D36">
    <cfRule type="containsText" priority="6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42"/>
</worksheet>
</file>

<file path=xl/worksheets/sheet57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R88"/>
  <sheetViews>
    <sheetView topLeftCell="A7" zoomScaleNormal="100" workbookViewId="0">
      <selection activeCell="A1" sqref="A1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29.75" bestFit="1" customWidth="1" style="2" min="6" max="6"/>
    <col width="8.75" customWidth="1" style="2" min="7" max="7"/>
    <col width="6.75" customWidth="1" style="2" min="8" max="9"/>
    <col width="6.625" customWidth="1" style="2" min="10" max="10"/>
    <col width="20.25" customWidth="1" style="77" min="11" max="11"/>
    <col width="8.75" customWidth="1" style="2" min="12" max="12"/>
    <col width="8.75" customWidth="1" style="449" min="13" max="13"/>
    <col width="8.75" customWidth="1" style="2" min="14" max="16384"/>
  </cols>
  <sheetData>
    <row r="1"/>
    <row r="2" ht="15" customHeight="1" s="462" thickBot="1">
      <c r="B2" s="496" t="n">
        <v>46203</v>
      </c>
      <c r="C2" s="463" t="n"/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ユーザー名(搬入/搬出)</t>
        </is>
      </c>
      <c r="G3" s="6" t="inlineStr">
        <is>
          <t>時間</t>
        </is>
      </c>
      <c r="H3" s="6" t="inlineStr">
        <is>
          <t>号車</t>
        </is>
      </c>
      <c r="I3" s="6" t="n"/>
      <c r="J3" s="6" t="inlineStr">
        <is>
          <t>距離</t>
        </is>
      </c>
      <c r="K3" s="6" t="inlineStr">
        <is>
          <t>特記事項</t>
        </is>
      </c>
      <c r="L3" s="29" t="inlineStr">
        <is>
          <t>距離</t>
        </is>
      </c>
      <c r="M3" s="30" t="inlineStr">
        <is>
          <t>終了地</t>
        </is>
      </c>
      <c r="N3" s="30" t="inlineStr">
        <is>
          <t>予定時間</t>
        </is>
      </c>
      <c r="O3" s="31" t="inlineStr">
        <is>
          <t>必要時間</t>
        </is>
      </c>
      <c r="P3" s="32" t="inlineStr">
        <is>
          <t>件数</t>
        </is>
      </c>
      <c r="Q3" s="32" t="inlineStr">
        <is>
          <t>メモ</t>
        </is>
      </c>
      <c r="R3" s="464" t="n"/>
    </row>
    <row r="4" ht="27" customHeight="1" s="462">
      <c r="A4" s="423" t="n"/>
      <c r="B4" s="76" t="n"/>
      <c r="C4" s="51" t="n"/>
      <c r="D4" s="51" t="n"/>
      <c r="E4" s="52" t="n"/>
      <c r="F4" s="52" t="n"/>
      <c r="G4" s="53" t="n"/>
      <c r="H4" s="51" t="n"/>
      <c r="I4" s="51" t="n"/>
      <c r="J4" s="51" t="n"/>
      <c r="K4" s="51" t="n"/>
      <c r="L4" s="55" t="n"/>
      <c r="M4" s="388" t="n"/>
      <c r="N4" s="388" t="n"/>
      <c r="O4" s="388" t="n"/>
      <c r="P4" s="388" t="n"/>
      <c r="Q4" s="388" t="n"/>
      <c r="R4" s="465" t="n"/>
    </row>
    <row r="5" ht="27" customHeight="1" s="462">
      <c r="A5" s="423">
        <f>IF(B5="","",COUNTA($B$5:B5))</f>
        <v/>
      </c>
      <c r="B5" s="57" t="n"/>
      <c r="C5" s="441" t="n"/>
      <c r="D5" s="63" t="n"/>
      <c r="E5" s="441" t="n"/>
      <c r="F5" s="57" t="n"/>
      <c r="G5" s="59" t="n"/>
      <c r="H5" s="438" t="n"/>
      <c r="I5" s="295">
        <f>IFERROR(_xlfn.XLOOKUP(H5,案件・ドライバー一覧!$L$3:$L$17,案件・ドライバー一覧!$M$3:$M$17,""),"")</f>
        <v/>
      </c>
      <c r="J5" s="57" t="n"/>
      <c r="K5" s="72">
        <f t="array" ref="K5">IF(OR(H5="",L5=""),"",IFERROR(_xlfn.LET(_xlpm.vt,VLOOKUP(IFERROR(VALUE(LEFT(H5,FIND("＊",H5&amp;"＊")-1)),H5),運賃マスター!$A$22:$B$40,2,FALSE),_xlpm.d,L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5" s="61" t="n"/>
      <c r="N5" s="449" t="n"/>
      <c r="O5" s="449" t="n"/>
      <c r="P5" s="449" t="n"/>
      <c r="Q5" s="449" t="n"/>
    </row>
    <row r="6" ht="27" customHeight="1" s="462">
      <c r="A6" s="423">
        <f>IF(B6="","",COUNTA($B$5:B6))</f>
        <v/>
      </c>
      <c r="B6" s="57" t="n"/>
      <c r="C6" s="441" t="n"/>
      <c r="D6" s="63" t="n"/>
      <c r="E6" s="441" t="n"/>
      <c r="F6" s="57" t="n"/>
      <c r="G6" s="68" t="n"/>
      <c r="H6" s="438" t="n"/>
      <c r="I6" s="295">
        <f>IFERROR(_xlfn.XLOOKUP(H6,案件・ドライバー一覧!$L$3:$L$17,案件・ドライバー一覧!$M$3:$M$17,""),"")</f>
        <v/>
      </c>
      <c r="J6" s="57" t="n"/>
      <c r="K6" s="73">
        <f t="array" ref="K6">IF(OR(H6="",L6=""),"",IFERROR(_xlfn.LET(_xlpm.vt,VLOOKUP(IFERROR(VALUE(LEFT(H6,FIND("＊",H6&amp;"＊")-1)),H6),運賃マスター!$A$22:$B$40,2,FALSE),_xlpm.d,L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6" s="61" t="n"/>
      <c r="N6" s="449" t="n"/>
      <c r="O6" s="449" t="n"/>
      <c r="P6" s="449" t="n"/>
      <c r="Q6" s="449" t="n"/>
    </row>
    <row r="7" ht="27" customHeight="1" s="462">
      <c r="A7" s="423">
        <f>IF(B7="","",COUNTA($B$5:B7))</f>
        <v/>
      </c>
      <c r="B7" s="57" t="n"/>
      <c r="C7" s="64" t="n"/>
      <c r="D7" s="63" t="n"/>
      <c r="E7" s="441" t="n"/>
      <c r="F7" s="57" t="n"/>
      <c r="G7" s="59" t="n"/>
      <c r="H7" s="438" t="n"/>
      <c r="I7" s="295">
        <f>IFERROR(_xlfn.XLOOKUP(H7,案件・ドライバー一覧!$L$3:$L$17,案件・ドライバー一覧!$M$3:$M$17,""),"")</f>
        <v/>
      </c>
      <c r="J7" s="57" t="n"/>
      <c r="K7" s="72">
        <f t="array" ref="K7">IF(OR(H7="",L7=""),"",IFERROR(_xlfn.LET(_xlpm.vt,VLOOKUP(IFERROR(VALUE(LEFT(H7,FIND("＊",H7&amp;"＊")-1)),H7),運賃マスター!$A$22:$B$40,2,FALSE),_xlpm.d,L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7" s="61" t="n"/>
      <c r="N7" s="449" t="n"/>
      <c r="O7" s="449" t="n"/>
      <c r="P7" s="449" t="n"/>
      <c r="Q7" s="449" t="n"/>
      <c r="R7" s="449" t="n"/>
    </row>
    <row r="8" ht="27" customHeight="1" s="462">
      <c r="A8" s="423">
        <f>IF(B8="","",COUNTA($B$5:B8))</f>
        <v/>
      </c>
      <c r="B8" s="57" t="n"/>
      <c r="C8" s="64" t="n"/>
      <c r="D8" s="441" t="n"/>
      <c r="E8" s="441" t="n"/>
      <c r="F8" s="57" t="n"/>
      <c r="G8" s="59" t="n"/>
      <c r="H8" s="438" t="n"/>
      <c r="I8" s="295">
        <f>IFERROR(_xlfn.XLOOKUP(H8,案件・ドライバー一覧!$L$3:$L$17,案件・ドライバー一覧!$M$3:$M$17,""),"")</f>
        <v/>
      </c>
      <c r="J8" s="57" t="n"/>
      <c r="K8" s="72">
        <f t="array" ref="K8">IF(OR(H8="",L8=""),"",IFERROR(_xlfn.LET(_xlpm.vt,VLOOKUP(IFERROR(VALUE(LEFT(H8,FIND("＊",H8&amp;"＊")-1)),H8),運賃マスター!$A$22:$B$40,2,FALSE),_xlpm.d,L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8" s="61" t="n"/>
      <c r="N8" s="449" t="n"/>
      <c r="O8" s="449" t="n"/>
      <c r="P8" s="449" t="n"/>
      <c r="Q8" s="449" t="n"/>
      <c r="R8" s="449" t="n"/>
    </row>
    <row r="9" ht="27" customHeight="1" s="462">
      <c r="A9" s="423">
        <f>IF(B9="","",COUNTA($B$5:B9))</f>
        <v/>
      </c>
      <c r="B9" s="57" t="n"/>
      <c r="C9" s="63" t="n"/>
      <c r="D9" s="441" t="n"/>
      <c r="E9" s="441" t="n"/>
      <c r="F9" s="57" t="n"/>
      <c r="G9" s="65" t="n"/>
      <c r="H9" s="438" t="n"/>
      <c r="I9" s="296">
        <f>IFERROR(_xlfn.XLOOKUP(H9,案件・ドライバー一覧!$L$3:$L$17,案件・ドライバー一覧!$M$3:$M$17,""),"")</f>
        <v/>
      </c>
      <c r="J9" s="420" t="n"/>
      <c r="K9" s="72">
        <f t="array" ref="K9">IF(OR(H9="",L9=""),"",IFERROR(_xlfn.LET(_xlpm.vt,VLOOKUP(IFERROR(VALUE(LEFT(H9,FIND("＊",H9&amp;"＊")-1)),H9),運賃マスター!$A$22:$B$40,2,FALSE),_xlpm.d,L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9" s="61" t="n"/>
      <c r="N9" s="449" t="n"/>
      <c r="O9" s="449" t="n"/>
      <c r="P9" s="449" t="n"/>
      <c r="Q9" s="449" t="n"/>
    </row>
    <row r="10" ht="27" customHeight="1" s="462">
      <c r="A10" s="423">
        <f>IF(B10="","",COUNTA($B$5:B10))</f>
        <v/>
      </c>
      <c r="B10" s="57" t="n"/>
      <c r="C10" s="63" t="n"/>
      <c r="D10" s="441" t="n"/>
      <c r="E10" s="441" t="n"/>
      <c r="F10" s="57" t="n"/>
      <c r="G10" s="65" t="n"/>
      <c r="H10" s="438" t="n"/>
      <c r="I10" s="295">
        <f>IFERROR(_xlfn.XLOOKUP(H10,案件・ドライバー一覧!$L$3:$L$17,案件・ドライバー一覧!$M$3:$M$17,""),"")</f>
        <v/>
      </c>
      <c r="J10" s="57" t="n"/>
      <c r="K10" s="72">
        <f t="array" ref="K10">IF(OR(H10="",L10=""),"",IFERROR(_xlfn.LET(_xlpm.vt,VLOOKUP(IFERROR(VALUE(LEFT(H10,FIND("＊",H10&amp;"＊")-1)),H10),運賃マスター!$A$22:$B$40,2,FALSE),_xlpm.d,L10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0" s="61" t="n"/>
      <c r="N10" s="449" t="n"/>
      <c r="O10" s="449" t="n"/>
      <c r="P10" s="449" t="n"/>
      <c r="Q10" s="449" t="n"/>
      <c r="R10" s="449" t="n"/>
    </row>
    <row r="11" ht="27" customHeight="1" s="462">
      <c r="A11" s="423">
        <f>IF(B11="","",COUNTA($B$5:B11))</f>
        <v/>
      </c>
      <c r="B11" s="57" t="n"/>
      <c r="C11" s="63" t="n"/>
      <c r="D11" s="441" t="n"/>
      <c r="E11" s="441" t="n"/>
      <c r="F11" s="57" t="n"/>
      <c r="G11" s="65" t="n"/>
      <c r="H11" s="438" t="n"/>
      <c r="I11" s="295">
        <f>IFERROR(_xlfn.XLOOKUP(H11,案件・ドライバー一覧!$L$3:$L$17,案件・ドライバー一覧!$M$3:$M$17,""),"")</f>
        <v/>
      </c>
      <c r="J11" s="57" t="n"/>
      <c r="K11" s="72">
        <f t="array" ref="K11">IF(OR(H11="",L11=""),"",IFERROR(_xlfn.LET(_xlpm.vt,VLOOKUP(IFERROR(VALUE(LEFT(H11,FIND("＊",H11&amp;"＊")-1)),H11),運賃マスター!$A$22:$B$40,2,FALSE),_xlpm.d,L11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1" s="61" t="n"/>
      <c r="N11" s="449" t="n"/>
      <c r="O11" s="449" t="n"/>
      <c r="P11" s="449" t="n"/>
      <c r="Q11" s="449" t="n"/>
      <c r="R11" s="449" t="n"/>
    </row>
    <row r="12" ht="27" customHeight="1" s="462">
      <c r="A12" s="423">
        <f>IF(B12="","",COUNTA($B$5:B12))</f>
        <v/>
      </c>
      <c r="B12" s="57" t="n"/>
      <c r="C12" s="63" t="n"/>
      <c r="D12" s="441" t="n"/>
      <c r="E12" s="441" t="n"/>
      <c r="F12" s="57" t="n"/>
      <c r="G12" s="65" t="n"/>
      <c r="H12" s="438" t="n"/>
      <c r="I12" s="295">
        <f>IFERROR(_xlfn.XLOOKUP(H12,案件・ドライバー一覧!$L$3:$L$17,案件・ドライバー一覧!$M$3:$M$17,""),"")</f>
        <v/>
      </c>
      <c r="J12" s="57" t="n"/>
      <c r="K12" s="72">
        <f t="array" ref="K12">IF(OR(H12="",L12=""),"",IFERROR(_xlfn.LET(_xlpm.vt,VLOOKUP(IFERROR(VALUE(LEFT(H12,FIND("＊",H12&amp;"＊")-1)),H12),運賃マスター!$A$22:$B$40,2,FALSE),_xlpm.d,L12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2" s="61" t="n"/>
      <c r="N12" s="449" t="n"/>
      <c r="O12" s="449" t="n"/>
      <c r="P12" s="449" t="n"/>
      <c r="Q12" s="449" t="n"/>
      <c r="R12" s="449" t="n"/>
    </row>
    <row r="13" ht="27" customHeight="1" s="462">
      <c r="A13" s="423">
        <f>IF(B13="","",COUNTA($B$5:B13))</f>
        <v/>
      </c>
      <c r="B13" s="57" t="n"/>
      <c r="C13" s="63" t="n"/>
      <c r="D13" s="441" t="n"/>
      <c r="E13" s="441" t="n"/>
      <c r="F13" s="57" t="n"/>
      <c r="G13" s="65" t="n"/>
      <c r="H13" s="438" t="n"/>
      <c r="I13" s="295">
        <f>IFERROR(_xlfn.XLOOKUP(H13,案件・ドライバー一覧!$L$3:$L$17,案件・ドライバー一覧!$M$3:$M$17,""),"")</f>
        <v/>
      </c>
      <c r="J13" s="57" t="n"/>
      <c r="K13" s="72">
        <f t="array" ref="K13">IF(OR(H13="",L13=""),"",IFERROR(_xlfn.LET(_xlpm.vt,VLOOKUP(IFERROR(VALUE(LEFT(H13,FIND("＊",H13&amp;"＊")-1)),H13),運賃マスター!$A$22:$B$40,2,FALSE),_xlpm.d,L13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3" s="61" t="n"/>
      <c r="N13" s="449" t="n"/>
      <c r="O13" s="449" t="n"/>
      <c r="P13" s="449" t="n"/>
      <c r="Q13" s="449" t="n"/>
      <c r="R13" s="449" t="n"/>
    </row>
    <row r="14" ht="27" customHeight="1" s="462">
      <c r="A14" s="423">
        <f>IF(B14="","",COUNTA($B$5:B14))</f>
        <v/>
      </c>
      <c r="B14" s="57" t="n"/>
      <c r="C14" s="63" t="n"/>
      <c r="D14" s="441" t="n"/>
      <c r="E14" s="441" t="n"/>
      <c r="F14" s="57" t="n"/>
      <c r="G14" s="65" t="n"/>
      <c r="H14" s="438" t="n"/>
      <c r="I14" s="295">
        <f>IFERROR(_xlfn.XLOOKUP(H14,案件・ドライバー一覧!$L$3:$L$17,案件・ドライバー一覧!$M$3:$M$17,""),"")</f>
        <v/>
      </c>
      <c r="J14" s="57" t="n"/>
      <c r="K14" s="72">
        <f t="array" ref="K14">IF(OR(H14="",L14=""),"",IFERROR(_xlfn.LET(_xlpm.vt,VLOOKUP(IFERROR(VALUE(LEFT(H14,FIND("＊",H14&amp;"＊")-1)),H14),運賃マスター!$A$22:$B$40,2,FALSE),_xlpm.d,L14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4" s="61" t="n"/>
      <c r="N14" s="449" t="n"/>
      <c r="O14" s="449" t="n"/>
      <c r="P14" s="449" t="n"/>
      <c r="Q14" s="449" t="n"/>
      <c r="R14" s="449" t="n"/>
    </row>
    <row r="15" ht="16.5" customHeight="1" s="462">
      <c r="A15" s="423">
        <f>IF(B15="","",COUNTA($B$5:B15))</f>
        <v/>
      </c>
      <c r="B15" s="57" t="n"/>
      <c r="C15" s="63" t="n"/>
      <c r="D15" s="441" t="n"/>
      <c r="E15" s="441" t="n"/>
      <c r="F15" s="57" t="n"/>
      <c r="G15" s="65" t="n"/>
      <c r="H15" s="438" t="n"/>
      <c r="I15" s="295">
        <f>IFERROR(_xlfn.XLOOKUP(H15,案件・ドライバー一覧!$L$3:$L$17,案件・ドライバー一覧!$M$3:$M$17,""),"")</f>
        <v/>
      </c>
      <c r="J15" s="57" t="n"/>
      <c r="K15" s="72">
        <f t="array" ref="K15">IF(OR(H15="",L15=""),"",IFERROR(_xlfn.LET(_xlpm.vt,VLOOKUP(IFERROR(VALUE(LEFT(H15,FIND("＊",H15&amp;"＊")-1)),H15),運賃マスター!$A$22:$B$40,2,FALSE),_xlpm.d,L15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5" s="61" t="n"/>
      <c r="N15" s="449" t="n"/>
      <c r="O15" s="449" t="n"/>
      <c r="P15" s="449" t="n"/>
      <c r="Q15" s="449" t="n"/>
      <c r="R15" s="449" t="n"/>
    </row>
    <row r="16" ht="27" customHeight="1" s="462">
      <c r="A16" s="423">
        <f>IF(B16="","",COUNTA($B$5:B16))</f>
        <v/>
      </c>
      <c r="B16" s="57" t="n"/>
      <c r="C16" s="63" t="n"/>
      <c r="D16" s="441" t="n"/>
      <c r="E16" s="441" t="n"/>
      <c r="F16" s="57" t="n"/>
      <c r="G16" s="65" t="n"/>
      <c r="H16" s="438" t="n"/>
      <c r="I16" s="427" t="n"/>
      <c r="J16" s="57" t="n"/>
      <c r="K16" s="72">
        <f t="array" ref="K16">IF(OR(H16="",L16=""),"",IFERROR(_xlfn.LET(_xlpm.vt,VLOOKUP(IFERROR(VALUE(LEFT(H16,FIND("＊",H16&amp;"＊")-1)),H16),運賃マスター!$A$22:$B$40,2,FALSE),_xlpm.d,L16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6" s="61" t="n"/>
      <c r="N16" s="449" t="n"/>
      <c r="O16" s="449" t="n"/>
      <c r="P16" s="449" t="n"/>
      <c r="Q16" s="449" t="n"/>
      <c r="R16" s="449" t="n"/>
    </row>
    <row r="17" ht="27" customHeight="1" s="462">
      <c r="A17" s="423">
        <f>IF(B17="","",COUNTA($B$5:B17))</f>
        <v/>
      </c>
      <c r="B17" s="57" t="n"/>
      <c r="C17" s="63" t="n"/>
      <c r="D17" s="441" t="n"/>
      <c r="E17" s="441" t="n"/>
      <c r="F17" s="57" t="n"/>
      <c r="G17" s="65" t="n"/>
      <c r="H17" s="438" t="n"/>
      <c r="I17" s="427" t="n"/>
      <c r="J17" s="57" t="n"/>
      <c r="K17" s="72">
        <f t="array" ref="K17">IF(OR(H17="",L17=""),"",IFERROR(_xlfn.LET(_xlpm.vt,VLOOKUP(IFERROR(VALUE(LEFT(H17,FIND("＊",H17&amp;"＊")-1)),H17),運賃マスター!$A$22:$B$40,2,FALSE),_xlpm.d,L17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7" s="61" t="n"/>
      <c r="N17" s="449" t="n"/>
      <c r="O17" s="449" t="n"/>
      <c r="P17" s="449" t="n"/>
      <c r="Q17" s="449" t="n"/>
      <c r="R17" s="449" t="n"/>
    </row>
    <row r="18" ht="27" customHeight="1" s="462">
      <c r="A18" s="423">
        <f>IF(B18="","",COUNTA($B$5:B18))</f>
        <v/>
      </c>
      <c r="B18" s="57" t="n"/>
      <c r="C18" s="63" t="n"/>
      <c r="D18" s="441" t="n"/>
      <c r="E18" s="441" t="n"/>
      <c r="F18" s="57" t="n"/>
      <c r="G18" s="65" t="n"/>
      <c r="H18" s="438" t="n"/>
      <c r="I18" s="427" t="n"/>
      <c r="J18" s="57" t="n"/>
      <c r="K18" s="72">
        <f t="array" ref="K18">IF(OR(H18="",L18=""),"",IFERROR(_xlfn.LET(_xlpm.vt,VLOOKUP(IFERROR(VALUE(LEFT(H18,FIND("＊",H18&amp;"＊")-1)),H18),運賃マスター!$A$22:$B$40,2,FALSE),_xlpm.d,L18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8" s="61" t="n"/>
      <c r="N18" s="449" t="n"/>
      <c r="O18" s="449" t="n"/>
      <c r="P18" s="449" t="n"/>
      <c r="Q18" s="449" t="n"/>
      <c r="R18" s="449" t="n"/>
    </row>
    <row r="19" ht="27" customHeight="1" s="462">
      <c r="A19" s="423">
        <f>IF(B19="","",COUNTA($B$5:B19))</f>
        <v/>
      </c>
      <c r="B19" s="57" t="n"/>
      <c r="C19" s="441" t="n"/>
      <c r="D19" s="441" t="n"/>
      <c r="E19" s="441" t="n"/>
      <c r="F19" s="57" t="n"/>
      <c r="G19" s="65" t="n"/>
      <c r="H19" s="438" t="n"/>
      <c r="I19" s="427" t="n"/>
      <c r="J19" s="57" t="n"/>
      <c r="K19" s="72">
        <f t="array" ref="K19">IF(OR(H19="",L19=""),"",IFERROR(_xlfn.LET(_xlpm.vt,VLOOKUP(IFERROR(VALUE(LEFT(H19,FIND("＊",H19&amp;"＊")-1)),H19),運賃マスター!$A$22:$B$40,2,FALSE),_xlpm.d,L19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19" s="61" t="n"/>
      <c r="N19" s="449" t="n"/>
      <c r="O19" s="449" t="n"/>
      <c r="P19" s="449" t="n"/>
      <c r="Q19" s="449" t="n"/>
      <c r="R19" s="449" t="n"/>
    </row>
    <row r="20" ht="28.5" customHeight="1" s="462">
      <c r="A20" s="423">
        <f>IF(B20="","",COUNTA($B$5:B20))</f>
        <v/>
      </c>
      <c r="B20" s="57" t="n"/>
      <c r="C20" s="64" t="n"/>
      <c r="D20" s="441" t="n"/>
      <c r="E20" s="63" t="n"/>
      <c r="F20" s="441" t="n"/>
      <c r="G20" s="59" t="n"/>
      <c r="H20" s="438" t="n"/>
      <c r="I20" s="427" t="n"/>
      <c r="J20" s="57" t="n"/>
      <c r="K20" s="72">
        <f t="array" ref="K20">IF(OR(H20="",L20=""),"",IFERROR(_xlfn.LET(_xlpm.vt,VLOOKUP(IFERROR(VALUE(LEFT(H20,FIND("＊",H20&amp;"＊")-1)),H20),運賃マスター!$A$22:$B$40,2,FALSE),_xlpm.d,L20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0" s="61" t="n"/>
      <c r="N20" s="449" t="n"/>
      <c r="O20" s="449" t="n"/>
      <c r="P20" s="449" t="n"/>
      <c r="Q20" s="449" t="n"/>
      <c r="R20" s="449" t="n"/>
    </row>
    <row r="21" ht="27" customHeight="1" s="462">
      <c r="A21" s="423">
        <f>IF(B21="","",COUNTA($B$5:B21))</f>
        <v/>
      </c>
      <c r="B21" s="57" t="n"/>
      <c r="C21" s="63" t="n"/>
      <c r="D21" s="441" t="n"/>
      <c r="E21" s="441" t="n"/>
      <c r="F21" s="57" t="n"/>
      <c r="G21" s="65" t="n"/>
      <c r="H21" s="438" t="n"/>
      <c r="I21" s="427" t="n"/>
      <c r="J21" s="57" t="n"/>
      <c r="K21" s="72">
        <f t="array" ref="K21">IF(OR(H21="",L21=""),"",IFERROR(_xlfn.LET(_xlpm.vt,VLOOKUP(IFERROR(VALUE(LEFT(H21,FIND("＊",H21&amp;"＊")-1)),H21),運賃マスター!$A$22:$B$40,2,FALSE),_xlpm.d,L21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1" s="61" t="n"/>
      <c r="N21" s="449" t="n"/>
      <c r="O21" s="449" t="n"/>
      <c r="P21" s="449" t="n"/>
      <c r="Q21" s="449" t="n"/>
      <c r="R21" s="449" t="n"/>
    </row>
    <row r="22" ht="27" customHeight="1" s="462">
      <c r="A22" s="423">
        <f>IF(B22="","",COUNTA($B$5:B22))</f>
        <v/>
      </c>
      <c r="B22" s="57" t="n"/>
      <c r="C22" s="63" t="n"/>
      <c r="D22" s="441" t="n"/>
      <c r="E22" s="441" t="n"/>
      <c r="F22" s="57" t="n"/>
      <c r="G22" s="65" t="n"/>
      <c r="H22" s="438" t="n"/>
      <c r="I22" s="427" t="n"/>
      <c r="J22" s="57" t="n"/>
      <c r="K22" s="72">
        <f t="array" ref="K22">IF(OR(H22="",L22=""),"",IFERROR(_xlfn.LET(_xlpm.vt,VLOOKUP(IFERROR(VALUE(LEFT(H22,FIND("＊",H22&amp;"＊")-1)),H22),運賃マスター!$A$22:$B$40,2,FALSE),_xlpm.d,L22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2" s="61" t="n"/>
      <c r="N22" s="449" t="n"/>
      <c r="O22" s="449" t="n"/>
      <c r="P22" s="449" t="n"/>
      <c r="Q22" s="449" t="n"/>
      <c r="R22" s="449" t="n"/>
    </row>
    <row r="23" ht="27" customHeight="1" s="462">
      <c r="A23" s="423">
        <f>IF(B23="","",COUNTA($B$5:B23))</f>
        <v/>
      </c>
      <c r="B23" s="57" t="n"/>
      <c r="C23" s="63" t="n"/>
      <c r="D23" s="441" t="n"/>
      <c r="E23" s="441" t="n"/>
      <c r="F23" s="57" t="n"/>
      <c r="G23" s="65" t="n"/>
      <c r="H23" s="438" t="n"/>
      <c r="I23" s="427" t="n"/>
      <c r="J23" s="57" t="n"/>
      <c r="K23" s="72">
        <f t="array" ref="K23">IF(OR(H23="",L23=""),"",IFERROR(_xlfn.LET(_xlpm.vt,VLOOKUP(IFERROR(VALUE(LEFT(H23,FIND("＊",H23&amp;"＊")-1)),H23),運賃マスター!$A$22:$B$40,2,FALSE),_xlpm.d,L23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3" s="61" t="n"/>
      <c r="N23" s="449" t="n"/>
      <c r="O23" s="449" t="n"/>
      <c r="P23" s="449" t="n"/>
      <c r="Q23" s="449" t="n"/>
      <c r="R23" s="449" t="n"/>
    </row>
    <row r="24" ht="27" customHeight="1" s="462">
      <c r="A24" s="423">
        <f>IF(B24="","",COUNTA($B$5:B24))</f>
        <v/>
      </c>
      <c r="B24" s="57" t="n"/>
      <c r="C24" s="63" t="n"/>
      <c r="D24" s="441" t="n"/>
      <c r="E24" s="441" t="n"/>
      <c r="F24" s="57" t="n"/>
      <c r="G24" s="65" t="n"/>
      <c r="H24" s="438" t="n"/>
      <c r="I24" s="427" t="n"/>
      <c r="J24" s="57" t="n"/>
      <c r="K24" s="72">
        <f t="array" ref="K24">IF(OR(H24="",L24=""),"",IFERROR(_xlfn.LET(_xlpm.vt,VLOOKUP(IFERROR(VALUE(LEFT(H24,FIND("＊",H24&amp;"＊")-1)),H24),運賃マスター!$A$22:$B$40,2,FALSE),_xlpm.d,L24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4" s="61" t="n"/>
      <c r="N24" s="449" t="n"/>
      <c r="O24" s="449" t="n"/>
      <c r="P24" s="449" t="n"/>
      <c r="Q24" s="449" t="n"/>
      <c r="R24" s="449" t="n"/>
    </row>
    <row r="25" ht="27" customHeight="1" s="462">
      <c r="A25" s="423">
        <f>IF(B25="","",COUNTA($B$5:B25))</f>
        <v/>
      </c>
      <c r="B25" s="57" t="n"/>
      <c r="C25" s="63" t="n"/>
      <c r="D25" s="441" t="n"/>
      <c r="E25" s="441" t="n"/>
      <c r="F25" s="57" t="n"/>
      <c r="G25" s="65" t="n"/>
      <c r="H25" s="438" t="n"/>
      <c r="I25" s="427" t="n"/>
      <c r="J25" s="57" t="n"/>
      <c r="K25" s="72">
        <f t="array" ref="K25">IF(OR(H25="",L25=""),"",IFERROR(_xlfn.LET(_xlpm.vt,VLOOKUP(IFERROR(VALUE(LEFT(H25,FIND("＊",H25&amp;"＊")-1)),H25),運賃マスター!$A$22:$B$40,2,FALSE),_xlpm.d,L25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5" s="61" t="n"/>
      <c r="N25" s="449" t="n"/>
      <c r="O25" s="449" t="n"/>
      <c r="P25" s="449" t="n"/>
      <c r="Q25" s="449" t="n"/>
      <c r="R25" s="449" t="n"/>
    </row>
    <row r="26" ht="15.75" customHeight="1" s="462">
      <c r="A26" s="423">
        <f>IF(B26="","",COUNTA($B$5:B26))</f>
        <v/>
      </c>
      <c r="B26" s="57" t="n"/>
      <c r="C26" s="63" t="n"/>
      <c r="D26" s="441" t="n"/>
      <c r="E26" s="441" t="n"/>
      <c r="F26" s="57" t="n"/>
      <c r="G26" s="65" t="n"/>
      <c r="H26" s="438" t="n"/>
      <c r="I26" s="427" t="n"/>
      <c r="J26" s="57" t="n"/>
      <c r="K26" s="72">
        <f t="array" ref="K26">IF(OR(H26="",L26=""),"",IFERROR(_xlfn.LET(_xlpm.vt,VLOOKUP(IFERROR(VALUE(LEFT(H26,FIND("＊",H26&amp;"＊")-1)),H26),運賃マスター!$A$22:$B$40,2,FALSE),_xlpm.d,L26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6" s="61" t="n"/>
      <c r="N26" s="449" t="n"/>
      <c r="O26" s="449" t="n"/>
      <c r="P26" s="449" t="n"/>
      <c r="Q26" s="449" t="n"/>
      <c r="R26" s="449" t="n"/>
    </row>
    <row r="27" ht="27" customHeight="1" s="462">
      <c r="A27" s="423">
        <f>IF(B27="","",COUNTA($B$5:B27))</f>
        <v/>
      </c>
      <c r="B27" s="57" t="n"/>
      <c r="C27" s="63" t="n"/>
      <c r="D27" s="441" t="n"/>
      <c r="E27" s="441" t="n"/>
      <c r="F27" s="57" t="n"/>
      <c r="G27" s="65" t="n"/>
      <c r="H27" s="438" t="n"/>
      <c r="I27" s="427" t="n"/>
      <c r="J27" s="57" t="n"/>
      <c r="K27" s="72">
        <f t="array" ref="K27">IF(OR(H27="",L27=""),"",IFERROR(_xlfn.LET(_xlpm.vt,VLOOKUP(IFERROR(VALUE(LEFT(H27,FIND("＊",H27&amp;"＊")-1)),H27),運賃マスター!$A$22:$B$40,2,FALSE),_xlpm.d,L27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7" s="61" t="n"/>
      <c r="N27" s="449" t="n"/>
      <c r="O27" s="449" t="n"/>
      <c r="P27" s="449" t="n"/>
      <c r="Q27" s="449" t="n"/>
      <c r="R27" s="449" t="n"/>
    </row>
    <row r="28" ht="27" customHeight="1" s="462">
      <c r="A28" s="423">
        <f>IF(B28="","",COUNTA($B$5:B28))</f>
        <v/>
      </c>
      <c r="B28" s="57" t="n"/>
      <c r="C28" s="62" t="n"/>
      <c r="D28" s="63" t="n"/>
      <c r="E28" s="441" t="n"/>
      <c r="F28" s="57" t="n"/>
      <c r="G28" s="66" t="n"/>
      <c r="H28" s="438" t="n"/>
      <c r="I28" s="427" t="n"/>
      <c r="J28" s="57" t="n"/>
      <c r="K28" s="73">
        <f t="array" ref="K28">IF(OR(H28="",L28=""),"",IFERROR(_xlfn.LET(_xlpm.vt,VLOOKUP(IFERROR(VALUE(LEFT(H28,FIND("＊",H28&amp;"＊")-1)),H28),運賃マスター!$A$22:$B$40,2,FALSE),_xlpm.d,L28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8" s="61" t="n"/>
      <c r="N28" s="449" t="n"/>
      <c r="O28" s="449" t="n"/>
      <c r="P28" s="449" t="n"/>
      <c r="Q28" s="449" t="n"/>
    </row>
    <row r="29" ht="27" customHeight="1" s="462">
      <c r="A29" s="423">
        <f>IF(B29="","",COUNTA($B$5:B29))</f>
        <v/>
      </c>
      <c r="B29" s="57" t="n"/>
      <c r="C29" s="63" t="n"/>
      <c r="D29" s="64" t="n"/>
      <c r="E29" s="420" t="n"/>
      <c r="F29" s="57" t="n"/>
      <c r="G29" s="66" t="n"/>
      <c r="H29" s="438" t="n"/>
      <c r="I29" s="438" t="n"/>
      <c r="J29" s="420" t="n"/>
      <c r="K29" s="73">
        <f t="array" ref="K29">IF(OR(H29="",L29=""),"",IFERROR(_xlfn.LET(_xlpm.vt,VLOOKUP(IFERROR(VALUE(LEFT(H29,FIND("＊",H29&amp;"＊")-1)),H29),運賃マスター!$A$22:$B$40,2,FALSE),_xlpm.d,L29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29" s="61" t="n"/>
      <c r="N29" s="449" t="n"/>
      <c r="O29" s="449" t="n"/>
      <c r="P29" s="449" t="n"/>
      <c r="Q29" s="449" t="n"/>
    </row>
    <row r="30" ht="27" customHeight="1" s="462">
      <c r="A30" s="423">
        <f>IF(B30="","",COUNTA($B$5:B30))</f>
        <v/>
      </c>
      <c r="B30" s="57" t="n"/>
      <c r="C30" s="63" t="n"/>
      <c r="D30" s="64" t="n"/>
      <c r="E30" s="57" t="n"/>
      <c r="F30" s="57" t="n"/>
      <c r="G30" s="66" t="n"/>
      <c r="H30" s="438" t="n"/>
      <c r="I30" s="427" t="n"/>
      <c r="J30" s="57" t="n"/>
      <c r="K30" s="72">
        <f t="array" ref="K30">IF(OR(H30="",L30=""),"",IFERROR(_xlfn.LET(_xlpm.vt,VLOOKUP(IFERROR(VALUE(LEFT(H30,FIND("＊",H30&amp;"＊")-1)),H30),運賃マスター!$A$22:$B$40,2,FALSE),_xlpm.d,L30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0" s="61" t="n"/>
      <c r="N30" s="449" t="n"/>
      <c r="O30" s="449" t="n"/>
      <c r="P30" s="449" t="n"/>
      <c r="Q30" s="449" t="n"/>
      <c r="R30" s="449" t="n"/>
    </row>
    <row r="31" ht="27" customHeight="1" s="462">
      <c r="A31" s="423">
        <f>IF(B31="","",COUNTA($B$5:B31))</f>
        <v/>
      </c>
      <c r="B31" s="57" t="n"/>
      <c r="C31" s="420" t="n"/>
      <c r="D31" s="63" t="n"/>
      <c r="E31" s="441" t="n"/>
      <c r="F31" s="57" t="n"/>
      <c r="G31" s="65" t="n"/>
      <c r="H31" s="438" t="n"/>
      <c r="I31" s="427" t="n"/>
      <c r="J31" s="57" t="n"/>
      <c r="K31" s="72">
        <f t="array" ref="K31">IF(OR(H31="",L31=""),"",IFERROR(_xlfn.LET(_xlpm.vt,VLOOKUP(IFERROR(VALUE(LEFT(H31,FIND("＊",H31&amp;"＊")-1)),H31),運賃マスター!$A$22:$B$40,2,FALSE),_xlpm.d,L31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1" s="61" t="n"/>
      <c r="N31" s="449" t="n"/>
      <c r="O31" s="449" t="n"/>
      <c r="P31" s="449" t="n"/>
      <c r="Q31" s="449" t="n"/>
    </row>
    <row r="32" ht="27" customHeight="1" s="462">
      <c r="A32" s="423">
        <f>IF(B32="","",COUNTA($B$5:B32))</f>
        <v/>
      </c>
      <c r="B32" s="57" t="n"/>
      <c r="C32" s="57" t="n"/>
      <c r="D32" s="441" t="n"/>
      <c r="E32" s="441" t="n"/>
      <c r="F32" s="57" t="n"/>
      <c r="G32" s="66" t="n"/>
      <c r="H32" s="438" t="n"/>
      <c r="I32" s="427" t="n"/>
      <c r="J32" s="57" t="n"/>
      <c r="K32" s="72">
        <f t="array" ref="K32">IF(OR(H32="",L32=""),"",IFERROR(_xlfn.LET(_xlpm.vt,VLOOKUP(IFERROR(VALUE(LEFT(H32,FIND("＊",H32&amp;"＊")-1)),H32),運賃マスター!$A$22:$B$40,2,FALSE),_xlpm.d,L32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2" s="61" t="n"/>
      <c r="N32" s="449" t="n"/>
      <c r="O32" s="449" t="n"/>
      <c r="P32" s="449" t="n"/>
      <c r="Q32" s="449" t="n"/>
    </row>
    <row r="33" ht="27.75" customHeight="1" s="462">
      <c r="A33" s="423">
        <f>IF(B33="","",COUNTA($B$5:B33))</f>
        <v/>
      </c>
      <c r="B33" s="441" t="n"/>
      <c r="C33" s="440" t="n"/>
      <c r="D33" s="441" t="n"/>
      <c r="E33" s="440" t="n"/>
      <c r="F33" s="57" t="n"/>
      <c r="G33" s="65" t="n"/>
      <c r="H33" s="438" t="n"/>
      <c r="I33" s="438" t="n"/>
      <c r="J33" s="420" t="n"/>
      <c r="K33" s="72">
        <f t="array" ref="K33">IF(OR(H33="",L33=""),"",IFERROR(_xlfn.LET(_xlpm.vt,VLOOKUP(IFERROR(VALUE(LEFT(H33,FIND("＊",H33&amp;"＊")-1)),H33),運賃マスター!$A$22:$B$40,2,FALSE),_xlpm.d,L33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3" s="61" t="n"/>
      <c r="N33" s="449" t="n"/>
      <c r="O33" s="449" t="n"/>
      <c r="P33" s="449" t="n"/>
      <c r="Q33" s="449" t="n"/>
    </row>
    <row r="34" ht="27" customHeight="1" s="462">
      <c r="A34" s="423">
        <f>IF(B34="","",COUNTA($B$5:B34))</f>
        <v/>
      </c>
      <c r="B34" s="441" t="n"/>
      <c r="C34" s="63" t="n"/>
      <c r="D34" s="440" t="n"/>
      <c r="E34" s="441" t="n"/>
      <c r="F34" s="57" t="n"/>
      <c r="G34" s="59" t="n"/>
      <c r="H34" s="438" t="n"/>
      <c r="I34" s="427" t="n"/>
      <c r="J34" s="57" t="n"/>
      <c r="K34" s="73">
        <f t="array" ref="K34">IF(OR(H34="",L34=""),"",IFERROR(_xlfn.LET(_xlpm.vt,VLOOKUP(IFERROR(VALUE(LEFT(H34,FIND("＊",H34&amp;"＊")-1)),H34),運賃マスター!$A$22:$B$40,2,FALSE),_xlpm.d,L34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4" s="61" t="n"/>
      <c r="N34" s="449" t="n"/>
      <c r="O34" s="449" t="n"/>
      <c r="P34" s="449" t="n"/>
      <c r="Q34" s="449" t="n"/>
    </row>
    <row r="35" ht="27" customHeight="1" s="462">
      <c r="A35" s="423" t="n"/>
      <c r="B35" s="441" t="n"/>
      <c r="C35" s="63" t="n"/>
      <c r="D35" s="440" t="n"/>
      <c r="E35" s="441" t="n"/>
      <c r="F35" s="57" t="n"/>
      <c r="G35" s="59" t="n"/>
      <c r="H35" s="438" t="n"/>
      <c r="I35" s="427" t="n"/>
      <c r="J35" s="57" t="n"/>
      <c r="K35" s="73">
        <f t="array" ref="K35">IF(OR(H35="",L35=""),"",IFERROR(_xlfn.LET(_xlpm.vt,VLOOKUP(IFERROR(VALUE(LEFT(H35,FIND("＊",H35&amp;"＊")-1)),H35),運賃マスター!$A$22:$B$40,2,FALSE),_xlpm.d,L35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5" s="61" t="n"/>
      <c r="N35" s="449" t="n"/>
      <c r="O35" s="449" t="n"/>
      <c r="P35" s="449" t="n"/>
      <c r="Q35" s="449" t="n"/>
      <c r="R35" s="449" t="n"/>
    </row>
    <row r="36" ht="27" customHeight="1" s="462">
      <c r="A36" s="423">
        <f>IF(B36="","",COUNTA($B$5:B36))</f>
        <v/>
      </c>
      <c r="B36" s="441" t="n"/>
      <c r="C36" s="63" t="n"/>
      <c r="D36" s="440" t="n"/>
      <c r="E36" s="441" t="n"/>
      <c r="F36" s="57" t="n"/>
      <c r="G36" s="59" t="n"/>
      <c r="H36" s="438" t="n"/>
      <c r="I36" s="427" t="n"/>
      <c r="J36" s="57" t="n"/>
      <c r="K36" s="73">
        <f t="array" ref="K36">IF(OR(H36="",L36=""),"",IFERROR(_xlfn.LET(_xlpm.vt,VLOOKUP(IFERROR(VALUE(LEFT(H36,FIND("＊",H36&amp;"＊")-1)),H36),運賃マスター!$A$22:$B$40,2,FALSE),_xlpm.d,L36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6" s="61" t="n"/>
      <c r="N36" s="449" t="n"/>
      <c r="O36" s="449" t="n"/>
      <c r="P36" s="449" t="n"/>
      <c r="Q36" s="449" t="n"/>
      <c r="R36" s="449" t="n"/>
    </row>
    <row r="37" ht="27" customHeight="1" s="462">
      <c r="A37" s="423">
        <f>IF(B37="","",COUNTA($B$5:B37))</f>
        <v/>
      </c>
      <c r="B37" s="441" t="n"/>
      <c r="C37" s="63" t="n"/>
      <c r="D37" s="440" t="n"/>
      <c r="E37" s="441" t="n"/>
      <c r="F37" s="57" t="n"/>
      <c r="G37" s="59" t="n"/>
      <c r="H37" s="74" t="n"/>
      <c r="I37" s="80" t="n"/>
      <c r="J37" s="57" t="n"/>
      <c r="K37" s="73">
        <f t="array" ref="K37">IF(OR(H37="",L37=""),"",IFERROR(_xlfn.LET(_xlpm.vt,VLOOKUP(IFERROR(VALUE(LEFT(H37,FIND("＊",H37&amp;"＊")-1)),H37),運賃マスター!$A$22:$B$40,2,FALSE),_xlpm.d,L37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7" s="61" t="n"/>
      <c r="N37" s="449" t="n"/>
      <c r="O37" s="449" t="n"/>
      <c r="P37" s="449" t="n"/>
      <c r="Q37" s="449" t="n"/>
      <c r="R37" s="449" t="n"/>
    </row>
    <row r="38" ht="27" customHeight="1" s="462">
      <c r="A38" s="423">
        <f>IF(B38="","",COUNTA($B$5:B38))</f>
        <v/>
      </c>
      <c r="B38" s="420" t="n"/>
      <c r="C38" s="420" t="n"/>
      <c r="D38" s="420" t="n"/>
      <c r="E38" s="420" t="n"/>
      <c r="F38" s="420" t="n"/>
      <c r="G38" s="69" t="n"/>
      <c r="H38" s="74" t="n"/>
      <c r="I38" s="74" t="n"/>
      <c r="J38" s="420" t="n"/>
      <c r="K38" s="22">
        <f t="array" ref="K38">IF(OR(H38="",L38=""),"",IFERROR(_xlfn.LET(_xlpm.vt,VLOOKUP(IFERROR(VALUE(LEFT(H38,FIND("＊",H38&amp;"＊")-1)),H38),運賃マスター!$A$22:$B$40,2,FALSE),_xlpm.d,L38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8" s="61" t="n"/>
      <c r="N38" s="449" t="n"/>
      <c r="O38" s="449" t="n"/>
      <c r="P38" s="449" t="n"/>
      <c r="Q38" s="449" t="n"/>
    </row>
    <row r="39" ht="27" customHeight="1" s="462">
      <c r="A39" s="423">
        <f>IF(B39="","",COUNTA($B$5:B39))</f>
        <v/>
      </c>
      <c r="B39" s="441" t="n"/>
      <c r="C39" s="63" t="n"/>
      <c r="D39" s="440" t="n"/>
      <c r="E39" s="441" t="n"/>
      <c r="F39" s="57" t="n"/>
      <c r="G39" s="59" t="n"/>
      <c r="H39" s="60" t="n"/>
      <c r="I39" s="60" t="n"/>
      <c r="J39" s="57" t="n"/>
      <c r="K39" s="73">
        <f t="array" ref="K39">IF(OR(H39="",L39=""),"",IFERROR(_xlfn.LET(_xlpm.vt,VLOOKUP(IFERROR(VALUE(LEFT(H39,FIND("＊",H39&amp;"＊")-1)),H39),運賃マスター!$A$22:$B$40,2,FALSE),_xlpm.d,L39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39" s="61" t="n"/>
      <c r="N39" s="449" t="n"/>
      <c r="O39" s="449" t="n"/>
      <c r="P39" s="449" t="n"/>
      <c r="Q39" s="449" t="n"/>
      <c r="R39" s="449" t="n"/>
    </row>
    <row r="40" ht="27" customHeight="1" s="462">
      <c r="A40" s="423">
        <f>IF(B40="","",COUNTA($B$5:B40))</f>
        <v/>
      </c>
      <c r="B40" s="441" t="n"/>
      <c r="C40" s="63" t="n"/>
      <c r="D40" s="440" t="n"/>
      <c r="E40" s="441" t="n"/>
      <c r="F40" s="57" t="n"/>
      <c r="G40" s="59" t="n"/>
      <c r="H40" s="60" t="n"/>
      <c r="I40" s="60" t="n"/>
      <c r="J40" s="57" t="n"/>
      <c r="K40" s="73">
        <f t="array" ref="K40">IF(OR(H40="",L40=""),"",IFERROR(_xlfn.LET(_xlpm.vt,VLOOKUP(IFERROR(VALUE(LEFT(H40,FIND("＊",H40&amp;"＊")-1)),H40),運賃マスター!$A$22:$B$40,2,FALSE),_xlpm.d,L40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0" s="61" t="n"/>
      <c r="N40" s="449" t="n"/>
      <c r="O40" s="449" t="n"/>
      <c r="P40" s="449" t="n"/>
      <c r="Q40" s="449" t="n"/>
      <c r="R40" s="449" t="n"/>
    </row>
    <row r="41" ht="27" customHeight="1" s="462">
      <c r="A41" s="423">
        <f>IF(B41="","",COUNTA($B$5:B41))</f>
        <v/>
      </c>
      <c r="B41" s="420" t="n"/>
      <c r="C41" s="420" t="n"/>
      <c r="D41" s="420" t="n"/>
      <c r="E41" s="420" t="n"/>
      <c r="F41" s="420" t="n"/>
      <c r="G41" s="69" t="n"/>
      <c r="H41" s="70" t="n"/>
      <c r="I41" s="70" t="n"/>
      <c r="J41" s="420" t="n"/>
      <c r="K41" s="22">
        <f t="array" ref="K41">IF(OR(H41="",L41=""),"",IFERROR(_xlfn.LET(_xlpm.vt,VLOOKUP(IFERROR(VALUE(LEFT(H41,FIND("＊",H41&amp;"＊")-1)),H41),運賃マスター!$A$22:$B$40,2,FALSE),_xlpm.d,L41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L41" s="61" t="n"/>
      <c r="N41" s="449" t="n"/>
      <c r="O41" s="449" t="n"/>
      <c r="P41" s="449" t="n"/>
      <c r="Q41" s="449" t="n"/>
    </row>
    <row r="42">
      <c r="B42" s="18" t="n"/>
      <c r="C42" s="18" t="n"/>
      <c r="D42" s="18" t="n"/>
      <c r="E42" s="18" t="n"/>
      <c r="F42" s="18" t="n"/>
      <c r="G42" s="19" t="n"/>
      <c r="H42" s="33" t="n"/>
      <c r="I42" s="18" t="n"/>
      <c r="J42" s="18" t="n"/>
      <c r="K42" s="18">
        <f t="array" ref="K42">IF(OR(H42="",L42=""),"",IFERROR(_xlfn.LET(_xlpm.vt,VLOOKUP(IFERROR(VALUE(LEFT(H42,FIND("＊",H42&amp;"＊")-1)),H42),運賃マスター!$A$22:$B$40,2,FALSE),_xlpm.d,L42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2" s="2" t="n"/>
    </row>
    <row r="43" ht="14.25" customHeight="1" s="462" thickBot="1">
      <c r="K43" s="2">
        <f t="array" ref="K43">IF(OR(H43="",L43=""),"",IFERROR(_xlfn.LET(_xlpm.vt,VLOOKUP(IFERROR(VALUE(LEFT(H43,FIND("＊",H43&amp;"＊")-1)),H43),運賃マスター!$A$22:$B$40,2,FALSE),_xlpm.d,L43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3" s="2" t="n"/>
    </row>
    <row r="44">
      <c r="B44" s="22" t="n"/>
      <c r="C44" s="25" t="n"/>
      <c r="D44" s="25" t="inlineStr">
        <is>
          <t>現在待機場所</t>
        </is>
      </c>
      <c r="E44" s="25" t="inlineStr">
        <is>
          <t>待機予定場所</t>
        </is>
      </c>
      <c r="F44" s="466" t="n"/>
      <c r="H44" s="375" t="inlineStr">
        <is>
          <t>目標距離</t>
        </is>
      </c>
      <c r="I44" s="465" t="n"/>
      <c r="J44" s="467" t="n"/>
      <c r="K44" s="377">
        <f t="array" ref="K44">IF(OR(H44="",L44=""),"",IFERROR(_xlfn.LET(_xlpm.vt,VLOOKUP(IFERROR(VALUE(LEFT(H44,FIND("＊",H44&amp;"＊")-1)),H44),運賃マスター!$A$22:$B$40,2,FALSE),_xlpm.d,L44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4" s="2" t="n"/>
    </row>
    <row r="45" ht="14.25" customHeight="1" s="462" thickBot="1">
      <c r="B45" s="26" t="inlineStr">
        <is>
          <t>2(255)</t>
        </is>
      </c>
      <c r="C45" s="21" t="inlineStr">
        <is>
          <t>山岸</t>
        </is>
      </c>
      <c r="D45" s="34" t="n"/>
      <c r="E45" s="34" t="n"/>
      <c r="F45" s="466" t="n"/>
      <c r="H45" s="468" t="n"/>
      <c r="I45" s="477" t="n"/>
      <c r="J45" s="469" t="n"/>
      <c r="K45" s="470" t="n"/>
      <c r="M45" s="2" t="n"/>
    </row>
    <row r="46">
      <c r="B46" s="26" t="inlineStr">
        <is>
          <t>8(254)</t>
        </is>
      </c>
      <c r="C46" s="21" t="inlineStr">
        <is>
          <t>砂川</t>
        </is>
      </c>
      <c r="D46" s="35" t="n"/>
      <c r="E46" s="35" t="n"/>
      <c r="F46" s="466" t="n"/>
      <c r="H46" s="368" t="inlineStr">
        <is>
          <t>残距離</t>
        </is>
      </c>
      <c r="J46" s="471" t="n"/>
      <c r="K46" s="354">
        <f t="array" ref="K46">IF(OR(H46="",L46=""),"",IFERROR(_xlfn.LET(_xlpm.vt,VLOOKUP(IFERROR(VALUE(LEFT(H46,FIND("＊",H46&amp;"＊")-1)),H46),運賃マスター!$A$22:$B$40,2,FALSE),_xlpm.d,L46,IF(OR(_xlpm.vt="2t",_xlpm.vt="2tユニック",_xlpm.vt="2ｔユニック"),IF(_xlpm.d&lt;=100,IFERROR(INDEX(運賃マスター!$B$5:$B$14,MATCH(1,(運賃マスター!$A$5:$A$14&gt;=_xlpm.d)*1,0)),運賃マスター!$B$5),運賃マスター!$B$17+CEILING((_xlpm.d-100)/10,1)*運賃マスター!$B$16),IF(OR(_xlpm.vt="3t",_xlpm.vt="3tユニック",_xlpm.vt="3ｔユニック"),IF(_xlpm.d&lt;=100,IFERROR(INDEX(運賃マスター!$F$5:$F$14,MATCH(1,(運賃マスター!$E$5:$E$14&gt;=_xlpm.d)*1,0)),運賃マスター!$F$5),運賃マスター!$F$17+CEILING((_xlpm.d-100)/10,1)*運賃マスター!$F$16),IF(_xlpm.vt="1t",IF(_xlpm.d&lt;=100,IFERROR(INDEX(運賃マスター!$J$5:$J$14,MATCH(1,(運賃マスター!$I$5:$I$14&gt;=_xlpm.d)*1,0)),運賃マスター!$J$5),運賃マスター!$J$17+CEILING((_xlpm.d-100)/10,1)*運賃マスター!$J$16),IF(_xlpm.vt="軽",IF(_xlpm.d&lt;=50,IFERROR(INDEX(運賃マスター!$N$5:$N$14,MATCH(1,(運賃マスター!$M$5:$M$14&gt;=_xlpm.d)*1,0)),運賃マスター!$N$5),IF(_xlpm.d&lt;=100,運賃マスター!$N$15+(_xlpm.d-50)*運賃マスター!$N$16,運賃マスター!$N$17+(_xlpm.d-100)*運賃マスター!$N$18)),IF(_xlpm.vt="3tPG",IF(_xlpm.d&lt;=100,IFERROR(INDEX(運賃マスター!$R$5:$R$14,MATCH(1,(運賃マスター!$Q$5:$Q$14&gt;=_xlpm.d)*1,0)),運賃マスター!$R$5),運賃マスター!$R$17+CEILING((_xlpm.d-100)/10,1)*運賃マスター!$R$16),"")))))),""))</f>
        <v/>
      </c>
      <c r="M46" s="2" t="n"/>
    </row>
    <row r="47" ht="14.25" customHeight="1" s="462" thickBot="1">
      <c r="B47" s="26" t="inlineStr">
        <is>
          <t>9(256)</t>
        </is>
      </c>
      <c r="C47" s="21" t="inlineStr">
        <is>
          <t>前川</t>
        </is>
      </c>
      <c r="D47" s="35" t="n"/>
      <c r="E47" s="35" t="n"/>
      <c r="F47" s="466" t="n"/>
      <c r="H47" s="468" t="n"/>
      <c r="I47" s="477" t="n"/>
      <c r="J47" s="469" t="n"/>
      <c r="K47" s="472" t="n"/>
      <c r="M47" s="2" t="n"/>
    </row>
    <row r="48" ht="14.25" customHeight="1" s="462" thickBot="1">
      <c r="B48" s="26" t="inlineStr">
        <is>
          <t>10(257)</t>
        </is>
      </c>
      <c r="C48" s="35" t="n"/>
      <c r="D48" s="35" t="n"/>
      <c r="E48" s="35" t="n"/>
      <c r="F48" s="466" t="n"/>
      <c r="K48" s="2" t="n"/>
      <c r="M48" s="2" t="n"/>
    </row>
    <row r="49">
      <c r="B49" s="26" t="inlineStr">
        <is>
          <t>11(258)</t>
        </is>
      </c>
      <c r="C49" s="21" t="inlineStr">
        <is>
          <t>郡司</t>
        </is>
      </c>
      <c r="D49" s="35" t="n"/>
      <c r="E49" s="35" t="n"/>
      <c r="F49" s="466" t="n"/>
      <c r="H49" s="350" t="inlineStr">
        <is>
          <t>依頼件数</t>
        </is>
      </c>
      <c r="I49" s="465" t="n"/>
      <c r="J49" s="467" t="n"/>
      <c r="K49" s="354">
        <f>SUM(P3:P41)+SUM(SUM(#REF!))</f>
        <v/>
      </c>
      <c r="M49" s="2" t="n"/>
    </row>
    <row r="50" ht="14.25" customHeight="1" s="462" thickBot="1">
      <c r="B50" s="26" t="inlineStr">
        <is>
          <t>12(736)</t>
        </is>
      </c>
      <c r="C50" s="21" t="n"/>
      <c r="D50" s="35" t="n"/>
      <c r="E50" s="35" t="n"/>
      <c r="F50" s="466" t="n"/>
      <c r="H50" s="468" t="n"/>
      <c r="I50" s="477" t="n"/>
      <c r="J50" s="469" t="n"/>
      <c r="K50" s="472" t="n"/>
      <c r="M50" s="2" t="n"/>
    </row>
    <row r="51" ht="16.5" customHeight="1" s="462">
      <c r="B51" s="26" t="inlineStr">
        <is>
          <t>13(737)</t>
        </is>
      </c>
      <c r="C51" s="21" t="n"/>
      <c r="D51" s="35" t="n"/>
      <c r="E51" s="35" t="n"/>
      <c r="F51" s="466" t="n"/>
      <c r="H51" s="38" t="n"/>
      <c r="I51" s="38" t="n"/>
      <c r="J51" s="38" t="n"/>
      <c r="K51" s="39" t="n"/>
      <c r="M51" s="2" t="n"/>
    </row>
    <row r="52" ht="16.5" customHeight="1" s="462">
      <c r="B52" s="40" t="inlineStr">
        <is>
          <t>14(738)</t>
        </is>
      </c>
      <c r="C52" s="21" t="inlineStr">
        <is>
          <t>辻井</t>
        </is>
      </c>
      <c r="D52" s="35" t="n"/>
      <c r="E52" s="35" t="n"/>
      <c r="F52" s="466" t="n"/>
      <c r="H52" s="38" t="n"/>
      <c r="I52" s="38" t="n"/>
      <c r="J52" s="38" t="n"/>
      <c r="K52" s="39" t="n"/>
      <c r="M52" s="2" t="n"/>
    </row>
    <row r="53" ht="8.25" customHeight="1" s="462">
      <c r="B53" s="41" t="n"/>
      <c r="C53" s="42" t="n"/>
      <c r="D53" s="43" t="n"/>
      <c r="E53" s="44" t="n"/>
      <c r="F53" s="349" t="n"/>
      <c r="H53" s="38" t="n"/>
      <c r="I53" s="38" t="n"/>
      <c r="J53" s="38" t="n"/>
      <c r="K53" s="39" t="n"/>
      <c r="M53" s="2" t="n"/>
    </row>
    <row r="54" ht="17.25" customHeight="1" s="462">
      <c r="B54" s="45" t="n">
        <v>7290</v>
      </c>
      <c r="C54" s="21" t="inlineStr">
        <is>
          <t>佐藤</t>
        </is>
      </c>
      <c r="D54" s="35" t="n"/>
      <c r="E54" s="348" t="n"/>
      <c r="F54" s="349" t="n"/>
      <c r="H54" s="38" t="n"/>
      <c r="I54" s="38" t="n"/>
      <c r="J54" s="38" t="n"/>
      <c r="K54" s="39" t="n"/>
      <c r="M54" s="2" t="n"/>
    </row>
    <row r="55" ht="17.25" customHeight="1" s="462">
      <c r="B55" s="45" t="n">
        <v>7291</v>
      </c>
      <c r="C55" s="21" t="inlineStr">
        <is>
          <t>末次</t>
        </is>
      </c>
      <c r="D55" s="35" t="n"/>
      <c r="E55" s="348" t="n"/>
      <c r="F55" s="349" t="n"/>
      <c r="H55" s="38" t="n"/>
      <c r="I55" s="38" t="n"/>
      <c r="J55" s="38" t="n"/>
      <c r="K55" s="39" t="n"/>
      <c r="M55" s="2" t="n"/>
    </row>
    <row r="56" ht="9" customHeight="1" s="462">
      <c r="B56" s="41" t="n"/>
      <c r="C56" s="42" t="n"/>
      <c r="D56" s="44" t="n"/>
      <c r="E56" s="44" t="n"/>
      <c r="F56" s="349" t="n"/>
      <c r="H56" s="38" t="n"/>
      <c r="I56" s="38" t="n"/>
      <c r="J56" s="38" t="n"/>
      <c r="K56" s="39" t="n"/>
      <c r="M56" s="2" t="n"/>
    </row>
    <row r="57" ht="16.5" customHeight="1" s="462">
      <c r="B57" s="45" t="n">
        <v>333</v>
      </c>
      <c r="C57" s="21" t="inlineStr">
        <is>
          <t>金井/奥田</t>
        </is>
      </c>
      <c r="D57" s="35" t="n"/>
      <c r="E57" s="484" t="n"/>
      <c r="F57" s="469" t="n"/>
      <c r="H57" s="38" t="n"/>
      <c r="I57" s="38" t="n"/>
      <c r="J57" s="38" t="n"/>
      <c r="K57" s="39" t="n"/>
      <c r="M57" s="2" t="n"/>
    </row>
    <row r="58" ht="16.5" customHeight="1" s="462">
      <c r="B58" s="46" t="n">
        <v>666</v>
      </c>
      <c r="C58" s="21" t="inlineStr">
        <is>
          <t>徳留</t>
        </is>
      </c>
      <c r="D58" s="35" t="n"/>
      <c r="E58" s="35" t="n"/>
      <c r="F58" s="466" t="n"/>
      <c r="H58" s="38" t="n"/>
      <c r="I58" s="38" t="n"/>
      <c r="J58" s="38" t="n"/>
      <c r="K58" s="39" t="n"/>
      <c r="M58" s="2" t="n"/>
    </row>
    <row r="59" ht="16.5" customHeight="1" s="462">
      <c r="B59" s="46" t="n">
        <v>777</v>
      </c>
      <c r="C59" s="21" t="n"/>
      <c r="D59" s="35" t="n"/>
      <c r="E59" s="348" t="n"/>
      <c r="F59" s="349" t="n"/>
      <c r="H59" s="38" t="n"/>
      <c r="I59" s="38" t="n"/>
      <c r="J59" s="38" t="n"/>
      <c r="K59" s="39" t="n"/>
      <c r="M59" s="2" t="n"/>
    </row>
    <row r="60" ht="16.5" customHeight="1" s="462">
      <c r="B60" s="47" t="n">
        <v>330</v>
      </c>
      <c r="C60" s="21" t="n"/>
      <c r="D60" s="35" t="n"/>
      <c r="E60" s="35" t="n"/>
      <c r="F60" s="466" t="n"/>
      <c r="H60" s="38" t="n"/>
      <c r="I60" s="38" t="n"/>
      <c r="J60" s="38" t="n"/>
      <c r="K60" s="39" t="n"/>
      <c r="M60" s="2" t="n"/>
    </row>
    <row r="61" ht="16.5" customHeight="1" s="462">
      <c r="B61" s="47" t="n">
        <v>990</v>
      </c>
      <c r="C61" s="21" t="inlineStr">
        <is>
          <t>山原</t>
        </is>
      </c>
      <c r="D61" s="35" t="n"/>
      <c r="E61" s="35" t="n"/>
      <c r="F61" s="466" t="n"/>
      <c r="H61" s="38" t="n"/>
      <c r="I61" s="38" t="n"/>
      <c r="J61" s="38" t="n"/>
      <c r="K61" s="39" t="n"/>
      <c r="M61" s="2" t="n"/>
    </row>
    <row r="62">
      <c r="K62" s="2" t="n"/>
      <c r="M62" s="2" t="n"/>
    </row>
    <row r="63">
      <c r="C63" s="449" t="inlineStr">
        <is>
          <t>出発→到着</t>
        </is>
      </c>
      <c r="D63" s="420" t="inlineStr">
        <is>
          <t>備考</t>
        </is>
      </c>
      <c r="K63" s="2" t="n"/>
      <c r="M63" s="2" t="n"/>
    </row>
    <row r="64">
      <c r="B64" s="27" t="inlineStr">
        <is>
          <t>①</t>
        </is>
      </c>
      <c r="C64" s="449" t="inlineStr">
        <is>
          <t>東→西</t>
        </is>
      </c>
      <c r="D64" s="485" t="inlineStr">
        <is>
          <t>①Aチーム優先</t>
        </is>
      </c>
      <c r="E64" s="486" t="n"/>
      <c r="F64" s="486" t="n"/>
      <c r="G64" s="486" t="n"/>
      <c r="H64" s="486" t="n"/>
      <c r="I64" s="486" t="n"/>
      <c r="J64" s="466" t="n"/>
      <c r="K64" s="2" t="n"/>
      <c r="M64" s="2" t="n"/>
    </row>
    <row r="65">
      <c r="B65" s="27" t="inlineStr">
        <is>
          <t>②</t>
        </is>
      </c>
      <c r="C65" s="449" t="inlineStr">
        <is>
          <t>東→東</t>
        </is>
      </c>
      <c r="D65" s="485" t="inlineStr">
        <is>
          <t>②急ぎ案件の場合、道路状況も伝えてあげる。</t>
        </is>
      </c>
      <c r="E65" s="486" t="n"/>
      <c r="F65" s="486" t="n"/>
      <c r="G65" s="486" t="n"/>
      <c r="H65" s="486" t="n"/>
      <c r="I65" s="486" t="n"/>
      <c r="J65" s="466" t="n"/>
      <c r="K65" s="2" t="n"/>
      <c r="M65" s="2" t="n"/>
    </row>
    <row r="66">
      <c r="B66" s="27" t="inlineStr">
        <is>
          <t>③</t>
        </is>
      </c>
      <c r="C66" s="449" t="inlineStr">
        <is>
          <t>西→東</t>
        </is>
      </c>
      <c r="D66" s="485" t="inlineStr">
        <is>
          <t>③各ドライバーの位置からの帰社のタイミング・夕方の配置</t>
        </is>
      </c>
      <c r="E66" s="486" t="n"/>
      <c r="F66" s="486" t="n"/>
      <c r="G66" s="486" t="n"/>
      <c r="H66" s="486" t="n"/>
      <c r="I66" s="486" t="n"/>
      <c r="J66" s="466" t="n"/>
      <c r="K66" s="2" t="n"/>
      <c r="M66" s="2" t="n"/>
    </row>
    <row r="67">
      <c r="B67" s="27" t="inlineStr">
        <is>
          <t>④</t>
        </is>
      </c>
      <c r="C67" s="449" t="inlineStr">
        <is>
          <t>西→西</t>
        </is>
      </c>
      <c r="D67" s="485" t="inlineStr">
        <is>
          <t>④依頼を受ける際の、希望時間と現状の位置。行けるか行けないかの判断をしっかりと。</t>
        </is>
      </c>
      <c r="E67" s="486" t="n"/>
      <c r="F67" s="486" t="n"/>
      <c r="G67" s="486" t="n"/>
      <c r="H67" s="486" t="n"/>
      <c r="I67" s="486" t="n"/>
      <c r="J67" s="466" t="n"/>
      <c r="K67" s="2" t="n"/>
      <c r="M67" s="2" t="n"/>
    </row>
    <row r="68">
      <c r="D68" s="485" t="inlineStr">
        <is>
          <t>⑤軽に乗るか乗らないかの判断に気を付ける。</t>
        </is>
      </c>
      <c r="E68" s="486" t="n"/>
      <c r="F68" s="486" t="n"/>
      <c r="G68" s="486" t="n"/>
      <c r="H68" s="486" t="n"/>
      <c r="I68" s="486" t="n"/>
      <c r="J68" s="466" t="n"/>
      <c r="K68" s="2" t="n"/>
      <c r="M68" s="2" t="n"/>
    </row>
    <row r="69">
      <c r="B69" s="22" t="n"/>
      <c r="C69" s="420" t="inlineStr">
        <is>
          <t>現状配置(予測)</t>
        </is>
      </c>
      <c r="D69" s="485" t="inlineStr">
        <is>
          <t>⑥18/1日、1.8/1人、3件/1人</t>
        </is>
      </c>
      <c r="E69" s="486" t="n"/>
      <c r="F69" s="486" t="n"/>
      <c r="G69" s="486" t="n"/>
      <c r="H69" s="486" t="n"/>
      <c r="I69" s="486" t="n"/>
      <c r="J69" s="466" t="n"/>
      <c r="K69" s="2" t="n"/>
      <c r="M69" s="2" t="n"/>
    </row>
    <row r="70">
      <c r="B70" s="420" t="inlineStr">
        <is>
          <t>西(神戸西・弥栄台)</t>
        </is>
      </c>
      <c r="C70" s="420" t="n"/>
      <c r="D70" s="485" t="inlineStr">
        <is>
          <t>⑦依頼書の見落とし(日付、入替、入出庫、場所）</t>
        </is>
      </c>
      <c r="E70" s="486" t="n"/>
      <c r="F70" s="486" t="n"/>
      <c r="G70" s="486" t="n"/>
      <c r="H70" s="486" t="n"/>
      <c r="I70" s="486" t="n"/>
      <c r="J70" s="466" t="n"/>
      <c r="K70" s="2" t="n"/>
      <c r="M70" s="2" t="n"/>
    </row>
    <row r="71">
      <c r="B71" s="420" t="inlineStr">
        <is>
          <t>真ん中(摩耶・中央)</t>
        </is>
      </c>
      <c r="C71" s="420" t="n"/>
      <c r="D71" s="485" t="inlineStr">
        <is>
          <t>⑧3ｔ車と2ｔ車への振り方(西と東に振り分ける)</t>
        </is>
      </c>
      <c r="E71" s="486" t="n"/>
      <c r="F71" s="486" t="n"/>
      <c r="G71" s="486" t="n"/>
      <c r="H71" s="486" t="n"/>
      <c r="I71" s="486" t="n"/>
      <c r="J71" s="466" t="n"/>
      <c r="K71" s="2" t="n"/>
      <c r="M71" s="2" t="n"/>
    </row>
    <row r="72">
      <c r="B72" s="420" t="inlineStr">
        <is>
          <t>東(尼崎・伊丹・西宮)</t>
        </is>
      </c>
      <c r="C72" s="420" t="n"/>
      <c r="D72" s="485" t="inlineStr">
        <is>
          <t>⑨</t>
        </is>
      </c>
      <c r="E72" s="486" t="n"/>
      <c r="F72" s="486" t="n"/>
      <c r="G72" s="486" t="n"/>
      <c r="H72" s="486" t="n"/>
      <c r="I72" s="486" t="n"/>
      <c r="J72" s="466" t="n"/>
      <c r="K72" s="2" t="n"/>
      <c r="M72" s="2" t="n"/>
    </row>
    <row r="73">
      <c r="B73" s="48" t="inlineStr">
        <is>
          <t>極東(港区・淀屋橋)</t>
        </is>
      </c>
      <c r="C73" s="420" t="n"/>
      <c r="D73" s="49" t="n"/>
      <c r="E73" s="49" t="n"/>
      <c r="F73" s="49" t="n"/>
      <c r="G73" s="49" t="n"/>
      <c r="H73" s="49" t="n"/>
      <c r="I73" s="49" t="n"/>
      <c r="J73" s="49" t="n"/>
      <c r="K73" s="2" t="n"/>
      <c r="M73" s="2" t="n"/>
    </row>
    <row r="74" ht="14.25" customHeight="1" s="462" thickBot="1">
      <c r="K74" s="2" t="n"/>
      <c r="M74" s="2" t="n"/>
    </row>
    <row r="75">
      <c r="C75" s="473" t="inlineStr">
        <is>
          <t>合計額/380</t>
        </is>
      </c>
      <c r="D75" s="358">
        <f>SUM(G75)</f>
        <v/>
      </c>
      <c r="F75" s="360" t="inlineStr">
        <is>
          <t>売り上げ額</t>
        </is>
      </c>
      <c r="G75" s="362">
        <f>SUM(SUM(K4:K41))+SUM(#REF!)</f>
        <v/>
      </c>
      <c r="H75" s="465" t="n"/>
      <c r="I75" s="465" t="n"/>
      <c r="J75" s="467" t="n"/>
      <c r="K75" s="2" t="n"/>
      <c r="M75" s="2" t="n"/>
    </row>
    <row r="76" ht="14.25" customHeight="1" s="462" thickBot="1">
      <c r="C76" s="474" t="n"/>
      <c r="D76" s="475" t="n"/>
      <c r="F76" s="468" t="n"/>
      <c r="G76" s="476" t="n"/>
      <c r="H76" s="477" t="n"/>
      <c r="I76" s="477" t="n"/>
      <c r="J76" s="469" t="n"/>
      <c r="K76" s="2" t="n"/>
      <c r="M76" s="2" t="n"/>
    </row>
    <row r="77">
      <c r="C77" s="478" t="inlineStr">
        <is>
          <t>前日までの売上合計額</t>
        </is>
      </c>
      <c r="D77" s="479">
        <f>SUM(B86)</f>
        <v/>
      </c>
      <c r="K77" s="2" t="n"/>
      <c r="M77" s="2" t="n"/>
    </row>
    <row r="78" ht="14.25" customHeight="1" s="462" thickBot="1">
      <c r="C78" s="480" t="n"/>
      <c r="D78" s="480" t="n"/>
      <c r="F78" s="420" t="inlineStr">
        <is>
          <t>金井（55)</t>
        </is>
      </c>
      <c r="G78" s="345" t="n"/>
      <c r="H78" s="466" t="n"/>
      <c r="I78" s="130" t="n"/>
      <c r="K78" s="2" t="n"/>
      <c r="M78" s="2" t="n"/>
    </row>
    <row r="79" ht="14.25" customHeight="1" s="462" thickTop="1">
      <c r="D79" s="346">
        <f>D75+D77</f>
        <v/>
      </c>
      <c r="F79" s="420" t="inlineStr">
        <is>
          <t>粟津(55)</t>
        </is>
      </c>
      <c r="G79" s="340" t="n"/>
      <c r="H79" s="466" t="n"/>
      <c r="I79" s="131" t="n"/>
      <c r="K79" s="2" t="n"/>
      <c r="M79" s="2" t="n"/>
    </row>
    <row r="80">
      <c r="F80" s="420" t="inlineStr">
        <is>
          <t>砂川(50)</t>
        </is>
      </c>
      <c r="G80" s="340" t="n"/>
      <c r="H80" s="466" t="n"/>
      <c r="I80" s="131" t="n"/>
      <c r="K80" s="2" t="n"/>
      <c r="M80" s="2" t="n"/>
    </row>
    <row r="81">
      <c r="C81" s="2" t="inlineStr">
        <is>
          <t>高代</t>
        </is>
      </c>
      <c r="F81" s="420" t="inlineStr">
        <is>
          <t>前川(50)</t>
        </is>
      </c>
      <c r="G81" s="340" t="n"/>
      <c r="H81" s="466" t="n"/>
      <c r="I81" s="131" t="n"/>
      <c r="K81" s="2" t="n"/>
      <c r="M81" s="2" t="n"/>
    </row>
    <row r="82">
      <c r="C82" s="2" t="inlineStr">
        <is>
          <t>返還代</t>
        </is>
      </c>
      <c r="F82" s="420" t="inlineStr">
        <is>
          <t>佐藤(50)</t>
        </is>
      </c>
      <c r="G82" s="345" t="n"/>
      <c r="H82" s="466" t="n"/>
      <c r="I82" s="130" t="n"/>
      <c r="K82" s="2" t="n"/>
      <c r="M82" s="2" t="n"/>
    </row>
    <row r="83">
      <c r="C83" s="2" t="inlineStr">
        <is>
          <t>回収率</t>
        </is>
      </c>
      <c r="D83" s="50">
        <f>D82/D81</f>
        <v/>
      </c>
      <c r="F83" s="420" t="inlineStr">
        <is>
          <t>末次(55)</t>
        </is>
      </c>
      <c r="G83" s="340" t="n"/>
      <c r="H83" s="466" t="n"/>
      <c r="I83" s="131" t="n"/>
      <c r="K83" s="2" t="n"/>
      <c r="M83" s="2" t="n"/>
    </row>
    <row r="84">
      <c r="C84" s="2" t="inlineStr">
        <is>
          <t>費</t>
        </is>
      </c>
      <c r="D84" s="2">
        <f>D81-D82</f>
        <v/>
      </c>
      <c r="F84" s="420" t="inlineStr">
        <is>
          <t>筒井(75)</t>
        </is>
      </c>
      <c r="G84" s="340" t="n"/>
      <c r="H84" s="466" t="n"/>
      <c r="I84" s="131" t="n"/>
      <c r="K84" s="2" t="n"/>
      <c r="M84" s="2" t="n"/>
    </row>
    <row r="85">
      <c r="F85" s="420" t="inlineStr">
        <is>
          <t>山岸(40)</t>
        </is>
      </c>
      <c r="G85" s="340" t="n"/>
      <c r="H85" s="466" t="n"/>
      <c r="I85" s="131" t="n"/>
      <c r="K85" s="2" t="n"/>
      <c r="M85" s="2" t="n"/>
    </row>
    <row r="86" ht="23.25" customHeight="1" s="462">
      <c r="B86" s="71" t="n"/>
      <c r="F86" s="420" t="inlineStr">
        <is>
          <t>多苗(30)</t>
        </is>
      </c>
      <c r="G86" s="340" t="n"/>
      <c r="H86" s="466" t="n"/>
      <c r="I86" s="131" t="n"/>
      <c r="K86" s="2" t="n"/>
      <c r="L86" s="2" t="inlineStr">
        <is>
          <t> </t>
        </is>
      </c>
      <c r="M86" s="2" t="n"/>
    </row>
    <row r="87">
      <c r="K87" s="2" t="n"/>
      <c r="M87" s="2" t="n"/>
    </row>
    <row r="88">
      <c r="K88" s="2" t="n"/>
      <c r="M88" s="2" t="n"/>
    </row>
  </sheetData>
  <mergeCells count="58">
    <mergeCell ref="D71:J71"/>
    <mergeCell ref="E50:F50"/>
    <mergeCell ref="G81:H81"/>
    <mergeCell ref="Q3:R3"/>
    <mergeCell ref="G86:H86"/>
    <mergeCell ref="D68:J68"/>
    <mergeCell ref="Q28:R28"/>
    <mergeCell ref="D77:D78"/>
    <mergeCell ref="E52:F52"/>
    <mergeCell ref="Q33:R33"/>
    <mergeCell ref="D64:J64"/>
    <mergeCell ref="E48:F48"/>
    <mergeCell ref="D67:J67"/>
    <mergeCell ref="E44:F44"/>
    <mergeCell ref="K44:K45"/>
    <mergeCell ref="G82:H82"/>
    <mergeCell ref="E51:F51"/>
    <mergeCell ref="B2:C2"/>
    <mergeCell ref="C75:C76"/>
    <mergeCell ref="D75:D76"/>
    <mergeCell ref="F75:F76"/>
    <mergeCell ref="Q29:R29"/>
    <mergeCell ref="Q5:R5"/>
    <mergeCell ref="H44:J45"/>
    <mergeCell ref="Q38:R38"/>
    <mergeCell ref="D69:J69"/>
    <mergeCell ref="K46:K47"/>
    <mergeCell ref="E60:F60"/>
    <mergeCell ref="G78:H78"/>
    <mergeCell ref="Q4:R4"/>
    <mergeCell ref="Q31:R31"/>
    <mergeCell ref="E47:F47"/>
    <mergeCell ref="Q34:R34"/>
    <mergeCell ref="G83:H83"/>
    <mergeCell ref="H49:J50"/>
    <mergeCell ref="E46:F46"/>
    <mergeCell ref="D65:J65"/>
    <mergeCell ref="Q6:R6"/>
    <mergeCell ref="E49:F49"/>
    <mergeCell ref="G80:H80"/>
    <mergeCell ref="E45:F45"/>
    <mergeCell ref="Q9:R9"/>
    <mergeCell ref="E61:F61"/>
    <mergeCell ref="H46:J47"/>
    <mergeCell ref="G79:H79"/>
    <mergeCell ref="E57:F57"/>
    <mergeCell ref="G75:J76"/>
    <mergeCell ref="D79:D80"/>
    <mergeCell ref="D70:J70"/>
    <mergeCell ref="D66:J66"/>
    <mergeCell ref="G85:H85"/>
    <mergeCell ref="C77:C78"/>
    <mergeCell ref="Q32:R32"/>
    <mergeCell ref="Q41:R41"/>
    <mergeCell ref="D72:J72"/>
    <mergeCell ref="G84:H84"/>
    <mergeCell ref="E58:F58"/>
    <mergeCell ref="K49:K50"/>
  </mergeCells>
  <conditionalFormatting sqref="K46:K47">
    <cfRule type="cellIs" priority="4" operator="lessThan" dxfId="7">
      <formula>-90</formula>
    </cfRule>
    <cfRule type="cellIs" priority="5" operator="lessThan" dxfId="7">
      <formula>0</formula>
    </cfRule>
  </conditionalFormatting>
  <conditionalFormatting sqref="L39:L41">
    <cfRule type="cellIs" priority="6" operator="greaterThan" dxfId="0">
      <formula>30</formula>
    </cfRule>
  </conditionalFormatting>
  <conditionalFormatting sqref="L3">
    <cfRule type="cellIs" priority="2" operator="greaterThan" dxfId="6">
      <formula>30</formula>
    </cfRule>
    <cfRule type="cellIs" priority="3" operator="greaterThan" dxfId="5">
      <formula>30</formula>
    </cfRule>
  </conditionalFormatting>
  <conditionalFormatting sqref="L3:L38">
    <cfRule type="cellIs" priority="1" operator="greaterThan" dxfId="0">
      <formula>30</formula>
    </cfRule>
  </conditionalFormatting>
  <conditionalFormatting sqref="D5:D49">
    <cfRule type="containsText" priority="7" operator="containsText" dxfId="3" text="～">
      <formula>NOT(ISERROR(SEARCH("～",D5)))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42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40"/>
  <sheetViews>
    <sheetView zoomScale="70" zoomScaleNormal="70" workbookViewId="0">
      <selection activeCell="F38" sqref="F38"/>
    </sheetView>
  </sheetViews>
  <sheetFormatPr baseColWidth="8" defaultRowHeight="13.5"/>
  <cols>
    <col width="30" customWidth="1" style="462" min="1" max="1"/>
    <col width="13.375" customWidth="1" style="462" min="2" max="2"/>
    <col width="16.625" customWidth="1" style="462" min="3" max="3"/>
    <col width="30" customWidth="1" style="462" min="5" max="5"/>
    <col width="13.375" customWidth="1" style="462" min="6" max="6"/>
    <col width="16.625" customWidth="1" style="462" min="7" max="7"/>
    <col width="30" customWidth="1" style="462" min="9" max="9"/>
    <col width="13.375" customWidth="1" style="462" min="10" max="10"/>
    <col width="16.625" customWidth="1" style="462" min="11" max="11"/>
    <col width="36.625" customWidth="1" style="462" min="13" max="13"/>
    <col width="13.375" customWidth="1" style="462" min="14" max="15"/>
    <col width="30" customWidth="1" style="462" min="17" max="17"/>
    <col width="13.375" customWidth="1" style="462" min="18" max="18"/>
    <col width="16.625" customWidth="1" style="462" min="19" max="19"/>
  </cols>
  <sheetData>
    <row r="1" ht="17.25" customHeight="1" s="462">
      <c r="A1" s="189" t="inlineStr">
        <is>
          <t>ユニック運賃マスター</t>
        </is>
      </c>
    </row>
    <row r="2"/>
    <row r="3" ht="14.25" customHeight="1" s="462">
      <c r="A3" s="190" t="inlineStr">
        <is>
          <t>【2tユニック】</t>
        </is>
      </c>
      <c r="E3" s="190" t="inlineStr">
        <is>
          <t>【3tユニック】</t>
        </is>
      </c>
      <c r="I3" s="190" t="inlineStr">
        <is>
          <t>【1t車】</t>
        </is>
      </c>
      <c r="M3" s="190" t="inlineStr">
        <is>
          <t>【軽急便(小型)】</t>
        </is>
      </c>
      <c r="Q3" s="190" t="inlineStr">
        <is>
          <t>【3tPG(110)】</t>
        </is>
      </c>
    </row>
    <row r="4">
      <c r="A4" s="138" t="inlineStr">
        <is>
          <t>距離上限(km)</t>
        </is>
      </c>
      <c r="B4" s="138" t="inlineStr">
        <is>
          <t>運賃(円)</t>
        </is>
      </c>
      <c r="C4" s="138" t="inlineStr">
        <is>
          <t>備考</t>
        </is>
      </c>
      <c r="E4" s="191" t="inlineStr">
        <is>
          <t>距離上限(km)</t>
        </is>
      </c>
      <c r="F4" s="191" t="inlineStr">
        <is>
          <t>運賃(円)</t>
        </is>
      </c>
      <c r="G4" s="191" t="inlineStr">
        <is>
          <t>備考</t>
        </is>
      </c>
      <c r="I4" s="192" t="inlineStr">
        <is>
          <t>距離上限(km)</t>
        </is>
      </c>
      <c r="J4" s="192" t="inlineStr">
        <is>
          <t>運賃(円)</t>
        </is>
      </c>
      <c r="K4" s="192" t="inlineStr">
        <is>
          <t>備考</t>
        </is>
      </c>
      <c r="M4" s="193" t="inlineStr">
        <is>
          <t>距離上限(km)</t>
        </is>
      </c>
      <c r="N4" s="193" t="inlineStr">
        <is>
          <t>運賃(円)</t>
        </is>
      </c>
      <c r="O4" s="193" t="inlineStr">
        <is>
          <t>備考</t>
        </is>
      </c>
      <c r="Q4" s="194" t="inlineStr">
        <is>
          <t>距離上限(km)</t>
        </is>
      </c>
      <c r="R4" s="194" t="inlineStr">
        <is>
          <t>運賃(円)</t>
        </is>
      </c>
      <c r="S4" s="194" t="inlineStr">
        <is>
          <t>備考</t>
        </is>
      </c>
    </row>
    <row r="5">
      <c r="A5" s="0" t="n">
        <v>10</v>
      </c>
      <c r="B5" s="195" t="n">
        <v>13000</v>
      </c>
      <c r="C5" s="0" t="inlineStr">
        <is>
          <t>～10km</t>
        </is>
      </c>
      <c r="E5" s="0" t="n">
        <v>10</v>
      </c>
      <c r="F5" s="195" t="n">
        <v>15000</v>
      </c>
      <c r="G5" s="0" t="inlineStr">
        <is>
          <t>～10km</t>
        </is>
      </c>
      <c r="I5" s="0" t="n">
        <v>10</v>
      </c>
      <c r="J5" s="195" t="n">
        <v>8500</v>
      </c>
      <c r="K5" s="0" t="inlineStr">
        <is>
          <t>～10km</t>
        </is>
      </c>
      <c r="M5" s="0" t="n">
        <v>5</v>
      </c>
      <c r="N5" s="195" t="n">
        <v>5000</v>
      </c>
      <c r="O5" s="0" t="inlineStr">
        <is>
          <t>～5km</t>
        </is>
      </c>
      <c r="Q5" s="0" t="n">
        <v>10</v>
      </c>
      <c r="R5" s="195" t="n">
        <v>11000</v>
      </c>
      <c r="S5" s="0" t="inlineStr">
        <is>
          <t>～10km</t>
        </is>
      </c>
    </row>
    <row r="6">
      <c r="A6" s="0" t="n">
        <v>20</v>
      </c>
      <c r="B6" s="195" t="n">
        <v>15000</v>
      </c>
      <c r="C6" s="0" t="inlineStr">
        <is>
          <t>11～20km</t>
        </is>
      </c>
      <c r="E6" s="0" t="n">
        <v>20</v>
      </c>
      <c r="F6" s="195" t="n">
        <v>18000</v>
      </c>
      <c r="G6" s="0" t="inlineStr">
        <is>
          <t>11～20km</t>
        </is>
      </c>
      <c r="I6" s="0" t="n">
        <v>20</v>
      </c>
      <c r="J6" s="195" t="n">
        <v>11000</v>
      </c>
      <c r="K6" s="0" t="inlineStr">
        <is>
          <t>～20km</t>
        </is>
      </c>
      <c r="M6" s="0" t="n">
        <v>10</v>
      </c>
      <c r="N6" s="195" t="n">
        <v>5000</v>
      </c>
      <c r="O6" s="0" t="inlineStr">
        <is>
          <t>～10km</t>
        </is>
      </c>
      <c r="Q6" s="0" t="n">
        <v>20</v>
      </c>
      <c r="R6" s="195" t="n">
        <v>13000</v>
      </c>
      <c r="S6" s="0" t="inlineStr">
        <is>
          <t>～20km</t>
        </is>
      </c>
    </row>
    <row r="7">
      <c r="A7" s="0" t="n">
        <v>30</v>
      </c>
      <c r="B7" s="195" t="n">
        <v>18000</v>
      </c>
      <c r="C7" s="0" t="inlineStr">
        <is>
          <t>21～30km</t>
        </is>
      </c>
      <c r="E7" s="0" t="n">
        <v>30</v>
      </c>
      <c r="F7" s="195" t="n">
        <v>20000</v>
      </c>
      <c r="G7" s="0" t="inlineStr">
        <is>
          <t>21～30km</t>
        </is>
      </c>
      <c r="I7" s="0" t="n">
        <v>30</v>
      </c>
      <c r="J7" s="195" t="n">
        <v>13000</v>
      </c>
      <c r="K7" s="0" t="inlineStr">
        <is>
          <t>～30km</t>
        </is>
      </c>
      <c r="M7" s="0" t="n">
        <v>15</v>
      </c>
      <c r="N7" s="195" t="n">
        <v>6500</v>
      </c>
      <c r="O7" s="0" t="inlineStr">
        <is>
          <t>～15km</t>
        </is>
      </c>
      <c r="Q7" s="0" t="n">
        <v>30</v>
      </c>
      <c r="R7" s="195" t="n">
        <v>15000</v>
      </c>
      <c r="S7" s="0" t="inlineStr">
        <is>
          <t>～30km</t>
        </is>
      </c>
    </row>
    <row r="8">
      <c r="A8" s="0" t="n">
        <v>40</v>
      </c>
      <c r="B8" s="195" t="n">
        <v>20000</v>
      </c>
      <c r="C8" s="0" t="inlineStr">
        <is>
          <t>31～40km</t>
        </is>
      </c>
      <c r="E8" s="0" t="n">
        <v>40</v>
      </c>
      <c r="F8" s="195" t="n">
        <v>22000</v>
      </c>
      <c r="G8" s="0" t="inlineStr">
        <is>
          <t>31～40km</t>
        </is>
      </c>
      <c r="I8" s="0" t="n">
        <v>40</v>
      </c>
      <c r="J8" s="195" t="n">
        <v>16000</v>
      </c>
      <c r="K8" s="0" t="inlineStr">
        <is>
          <t>～40km</t>
        </is>
      </c>
      <c r="M8" s="0" t="n">
        <v>20</v>
      </c>
      <c r="N8" s="195" t="n">
        <v>7500</v>
      </c>
      <c r="O8" s="0" t="inlineStr">
        <is>
          <t>～20km</t>
        </is>
      </c>
      <c r="Q8" s="0" t="n">
        <v>40</v>
      </c>
      <c r="R8" s="195" t="n">
        <v>17000</v>
      </c>
      <c r="S8" s="0" t="inlineStr">
        <is>
          <t>～40km</t>
        </is>
      </c>
    </row>
    <row r="9">
      <c r="A9" s="0" t="n">
        <v>50</v>
      </c>
      <c r="B9" s="195" t="n">
        <v>22000</v>
      </c>
      <c r="C9" s="0" t="inlineStr">
        <is>
          <t>41～50km</t>
        </is>
      </c>
      <c r="E9" s="0" t="n">
        <v>50</v>
      </c>
      <c r="F9" s="195" t="n">
        <v>25000</v>
      </c>
      <c r="G9" s="0" t="inlineStr">
        <is>
          <t>41～50km</t>
        </is>
      </c>
      <c r="I9" s="0" t="n">
        <v>50</v>
      </c>
      <c r="J9" s="195" t="n">
        <v>18000</v>
      </c>
      <c r="K9" s="0" t="inlineStr">
        <is>
          <t>～50km</t>
        </is>
      </c>
      <c r="M9" s="0" t="n">
        <v>25</v>
      </c>
      <c r="N9" s="195" t="n">
        <v>8500</v>
      </c>
      <c r="O9" s="0" t="inlineStr">
        <is>
          <t>～25km</t>
        </is>
      </c>
      <c r="Q9" s="0" t="n">
        <v>50</v>
      </c>
      <c r="R9" s="195" t="n">
        <v>19000</v>
      </c>
      <c r="S9" s="0" t="inlineStr">
        <is>
          <t>～50km</t>
        </is>
      </c>
    </row>
    <row r="10">
      <c r="A10" s="0" t="n">
        <v>60</v>
      </c>
      <c r="B10" s="195" t="n">
        <v>25000</v>
      </c>
      <c r="C10" s="0" t="inlineStr">
        <is>
          <t>51～60km</t>
        </is>
      </c>
      <c r="E10" s="0" t="n">
        <v>60</v>
      </c>
      <c r="F10" s="195" t="n">
        <v>28000</v>
      </c>
      <c r="G10" s="0" t="inlineStr">
        <is>
          <t>51～60km</t>
        </is>
      </c>
      <c r="I10" s="0" t="n">
        <v>60</v>
      </c>
      <c r="J10" s="195" t="n">
        <v>20000</v>
      </c>
      <c r="K10" s="0" t="inlineStr">
        <is>
          <t>～60km</t>
        </is>
      </c>
      <c r="M10" s="0" t="n">
        <v>30</v>
      </c>
      <c r="N10" s="195" t="n">
        <v>9500</v>
      </c>
      <c r="O10" s="0" t="inlineStr">
        <is>
          <t>～30km</t>
        </is>
      </c>
      <c r="Q10" s="0" t="n">
        <v>60</v>
      </c>
      <c r="R10" s="195" t="n">
        <v>22000</v>
      </c>
      <c r="S10" s="0" t="inlineStr">
        <is>
          <t>～60km</t>
        </is>
      </c>
    </row>
    <row r="11">
      <c r="A11" s="0" t="n">
        <v>70</v>
      </c>
      <c r="B11" s="195" t="n">
        <v>28000</v>
      </c>
      <c r="C11" s="0" t="inlineStr">
        <is>
          <t>61～70km</t>
        </is>
      </c>
      <c r="E11" s="0" t="n">
        <v>70</v>
      </c>
      <c r="F11" s="195" t="n">
        <v>32000</v>
      </c>
      <c r="G11" s="0" t="inlineStr">
        <is>
          <t>61～70km</t>
        </is>
      </c>
      <c r="I11" s="0" t="n">
        <v>70</v>
      </c>
      <c r="J11" s="195" t="n">
        <v>22000</v>
      </c>
      <c r="K11" s="0" t="inlineStr">
        <is>
          <t>～70km</t>
        </is>
      </c>
      <c r="M11" s="0" t="n">
        <v>35</v>
      </c>
      <c r="N11" s="195" t="n">
        <v>10000</v>
      </c>
      <c r="O11" s="0" t="inlineStr">
        <is>
          <t>～35km</t>
        </is>
      </c>
      <c r="Q11" s="0" t="n">
        <v>70</v>
      </c>
      <c r="R11" s="195" t="n">
        <v>25000</v>
      </c>
      <c r="S11" s="0" t="inlineStr">
        <is>
          <t>～70km</t>
        </is>
      </c>
    </row>
    <row r="12">
      <c r="A12" s="0" t="n">
        <v>80</v>
      </c>
      <c r="B12" s="195" t="n">
        <v>31000</v>
      </c>
      <c r="C12" s="0" t="inlineStr">
        <is>
          <t>71～80km</t>
        </is>
      </c>
      <c r="E12" s="0" t="n">
        <v>80</v>
      </c>
      <c r="F12" s="195" t="n">
        <v>35000</v>
      </c>
      <c r="G12" s="0" t="inlineStr">
        <is>
          <t>71～80km</t>
        </is>
      </c>
      <c r="I12" s="0" t="n">
        <v>80</v>
      </c>
      <c r="J12" s="195" t="n">
        <v>24000</v>
      </c>
      <c r="K12" s="0" t="inlineStr">
        <is>
          <t>～80km</t>
        </is>
      </c>
      <c r="M12" s="0" t="n">
        <v>40</v>
      </c>
      <c r="N12" s="195" t="n">
        <v>11000</v>
      </c>
      <c r="O12" s="0" t="inlineStr">
        <is>
          <t>～40km</t>
        </is>
      </c>
      <c r="Q12" s="0" t="n">
        <v>80</v>
      </c>
      <c r="R12" s="195" t="n">
        <v>27000</v>
      </c>
      <c r="S12" s="0" t="inlineStr">
        <is>
          <t>～80km</t>
        </is>
      </c>
    </row>
    <row r="13">
      <c r="A13" s="0" t="n">
        <v>90</v>
      </c>
      <c r="B13" s="195" t="n">
        <v>34000</v>
      </c>
      <c r="C13" s="0" t="inlineStr">
        <is>
          <t>81～90km</t>
        </is>
      </c>
      <c r="E13" s="0" t="n">
        <v>90</v>
      </c>
      <c r="F13" s="195" t="n">
        <v>37000</v>
      </c>
      <c r="G13" s="0" t="inlineStr">
        <is>
          <t>81～90km</t>
        </is>
      </c>
      <c r="I13" s="0" t="n">
        <v>90</v>
      </c>
      <c r="J13" s="195" t="n">
        <v>26000</v>
      </c>
      <c r="K13" s="0" t="inlineStr">
        <is>
          <t>～90km</t>
        </is>
      </c>
      <c r="M13" s="0" t="n">
        <v>45</v>
      </c>
      <c r="N13" s="195" t="n">
        <v>12000</v>
      </c>
      <c r="O13" s="0" t="inlineStr">
        <is>
          <t>～45km</t>
        </is>
      </c>
      <c r="Q13" s="0" t="n">
        <v>90</v>
      </c>
      <c r="R13" s="195" t="n">
        <v>30000</v>
      </c>
      <c r="S13" s="0" t="inlineStr">
        <is>
          <t>～90km</t>
        </is>
      </c>
    </row>
    <row r="14">
      <c r="A14" s="0" t="n">
        <v>100</v>
      </c>
      <c r="B14" s="195" t="n">
        <v>37000</v>
      </c>
      <c r="C14" s="0" t="inlineStr">
        <is>
          <t>91～100km</t>
        </is>
      </c>
      <c r="E14" s="0" t="n">
        <v>100</v>
      </c>
      <c r="F14" s="195" t="n">
        <v>40000</v>
      </c>
      <c r="G14" s="0" t="inlineStr">
        <is>
          <t>91～100km</t>
        </is>
      </c>
      <c r="I14" s="0" t="n">
        <v>100</v>
      </c>
      <c r="J14" s="195" t="n">
        <v>28000</v>
      </c>
      <c r="K14" s="0" t="inlineStr">
        <is>
          <t>91～100km</t>
        </is>
      </c>
      <c r="M14" s="0" t="n">
        <v>50</v>
      </c>
      <c r="N14" s="195" t="n">
        <v>13000</v>
      </c>
      <c r="O14" s="0" t="inlineStr">
        <is>
          <t>～50km</t>
        </is>
      </c>
      <c r="Q14" s="0" t="n">
        <v>100</v>
      </c>
      <c r="R14" s="195" t="n">
        <v>32000</v>
      </c>
      <c r="S14" s="0" t="inlineStr">
        <is>
          <t>91～100km</t>
        </is>
      </c>
    </row>
    <row r="15">
      <c r="M15" s="137" t="inlineStr">
        <is>
          <t>50kmまでの最大運賃</t>
        </is>
      </c>
      <c r="N15" s="195" t="n">
        <v>13000</v>
      </c>
    </row>
    <row r="16">
      <c r="A16" s="137" t="inlineStr">
        <is>
          <t>101km超加算額(10kmごと)</t>
        </is>
      </c>
      <c r="B16" s="195" t="n">
        <v>3000</v>
      </c>
      <c r="E16" s="137" t="inlineStr">
        <is>
          <t>101km超加算額(10kmごと)</t>
        </is>
      </c>
      <c r="F16" s="195" t="n">
        <v>3000</v>
      </c>
      <c r="I16" s="137" t="inlineStr">
        <is>
          <t>101km超加算額(10kmごと)</t>
        </is>
      </c>
      <c r="J16" s="195" t="n">
        <v>1200</v>
      </c>
      <c r="M16" s="137" t="inlineStr">
        <is>
          <t>51～100km 加算単価(1kmごと)</t>
        </is>
      </c>
      <c r="N16" s="195" t="n">
        <v>180</v>
      </c>
      <c r="Q16" s="137" t="inlineStr">
        <is>
          <t>101km超加算額(10kmごと)</t>
        </is>
      </c>
      <c r="R16" s="195" t="n">
        <v>2200</v>
      </c>
    </row>
    <row r="17">
      <c r="A17" s="137" t="inlineStr">
        <is>
          <t>100kmまでの最大運賃</t>
        </is>
      </c>
      <c r="B17" s="195" t="n">
        <v>37000</v>
      </c>
      <c r="E17" s="137" t="inlineStr">
        <is>
          <t>100kmまでの最大運賃</t>
        </is>
      </c>
      <c r="F17" s="195" t="n">
        <v>40000</v>
      </c>
      <c r="I17" s="137" t="inlineStr">
        <is>
          <t>100kmまでの最大運賃</t>
        </is>
      </c>
      <c r="J17" s="195" t="n">
        <v>28000</v>
      </c>
      <c r="M17" s="137" t="inlineStr">
        <is>
          <t>100kmまでの最大運賃</t>
        </is>
      </c>
      <c r="N17" s="195" t="n">
        <v>22000</v>
      </c>
      <c r="Q17" s="137" t="inlineStr">
        <is>
          <t>100kmまでの最大運賃</t>
        </is>
      </c>
      <c r="R17" s="195" t="n">
        <v>32000</v>
      </c>
    </row>
    <row r="18">
      <c r="M18" s="137" t="inlineStr">
        <is>
          <t>101km～ 加算単価(1kmごと)</t>
        </is>
      </c>
      <c r="N18" s="195" t="n">
        <v>150</v>
      </c>
    </row>
    <row r="19"/>
    <row r="20" ht="14.25" customHeight="1" s="462">
      <c r="A20" s="190" t="inlineStr">
        <is>
          <t>【号車マスター】</t>
        </is>
      </c>
    </row>
    <row r="21">
      <c r="A21" s="196" t="inlineStr">
        <is>
          <t>号車</t>
        </is>
      </c>
      <c r="B21" s="196" t="inlineStr">
        <is>
          <t>車両タイプ</t>
        </is>
      </c>
    </row>
    <row r="22">
      <c r="A22" s="0" t="n">
        <v>202</v>
      </c>
      <c r="B22" s="0" t="inlineStr">
        <is>
          <t>3tユニック</t>
        </is>
      </c>
    </row>
    <row r="23">
      <c r="A23" s="0" t="n">
        <v>303</v>
      </c>
      <c r="B23" s="0" t="inlineStr">
        <is>
          <t>3ｔユニック</t>
        </is>
      </c>
    </row>
    <row r="24">
      <c r="A24" s="0" t="n">
        <v>101</v>
      </c>
      <c r="B24" s="0" t="inlineStr">
        <is>
          <t>3tユニック</t>
        </is>
      </c>
    </row>
    <row r="25">
      <c r="A25" s="0" t="n">
        <v>303</v>
      </c>
      <c r="B25" s="0" t="inlineStr">
        <is>
          <t>3tユニック</t>
        </is>
      </c>
    </row>
    <row r="26">
      <c r="A26" s="0" t="n">
        <v>505</v>
      </c>
      <c r="B26" s="0" t="inlineStr">
        <is>
          <t>3tユニック</t>
        </is>
      </c>
    </row>
    <row r="27">
      <c r="A27" s="0" t="n">
        <v>333</v>
      </c>
      <c r="B27" s="0" t="inlineStr">
        <is>
          <t>3tユニック</t>
        </is>
      </c>
    </row>
    <row r="28">
      <c r="A28" s="0" t="n">
        <v>888</v>
      </c>
      <c r="B28" s="0" t="inlineStr">
        <is>
          <t>3tユニック</t>
        </is>
      </c>
    </row>
    <row r="29">
      <c r="A29" s="0" t="n">
        <v>666</v>
      </c>
      <c r="B29" s="0" t="inlineStr">
        <is>
          <t>2tユニック</t>
        </is>
      </c>
    </row>
    <row r="30">
      <c r="A30" s="0" t="n">
        <v>777</v>
      </c>
      <c r="B30" s="0" t="inlineStr">
        <is>
          <t>2tユニック</t>
        </is>
      </c>
    </row>
    <row r="31">
      <c r="A31" s="0" t="n">
        <v>110</v>
      </c>
      <c r="B31" s="0" t="inlineStr">
        <is>
          <t>3tPG</t>
        </is>
      </c>
    </row>
    <row r="32">
      <c r="A32" s="0" t="n">
        <v>7651</v>
      </c>
      <c r="B32" s="0" t="inlineStr">
        <is>
          <t>1t</t>
        </is>
      </c>
    </row>
    <row r="33">
      <c r="A33" s="0" t="n">
        <v>7657</v>
      </c>
      <c r="B33" s="0" t="inlineStr">
        <is>
          <t>1t</t>
        </is>
      </c>
    </row>
    <row r="34">
      <c r="A34" s="0" t="n">
        <v>7732</v>
      </c>
      <c r="B34" s="0" t="inlineStr">
        <is>
          <t>1t</t>
        </is>
      </c>
    </row>
    <row r="35">
      <c r="A35" s="0" t="n">
        <v>8</v>
      </c>
      <c r="B35" s="0" t="inlineStr">
        <is>
          <t>軽</t>
        </is>
      </c>
    </row>
    <row r="36">
      <c r="A36" s="0" t="n">
        <v>10</v>
      </c>
      <c r="B36" s="0" t="inlineStr">
        <is>
          <t>軽</t>
        </is>
      </c>
    </row>
    <row r="37">
      <c r="A37" s="0" t="n">
        <v>11</v>
      </c>
      <c r="B37" s="0" t="inlineStr">
        <is>
          <t>軽</t>
        </is>
      </c>
    </row>
    <row r="38">
      <c r="A38" s="0" t="n">
        <v>12</v>
      </c>
      <c r="B38" s="0" t="inlineStr">
        <is>
          <t>軽</t>
        </is>
      </c>
    </row>
    <row r="39">
      <c r="A39" s="0" t="n">
        <v>13</v>
      </c>
      <c r="B39" s="0" t="inlineStr">
        <is>
          <t>軽</t>
        </is>
      </c>
    </row>
    <row r="40">
      <c r="A40" s="0" t="n">
        <v>14</v>
      </c>
      <c r="B40" s="0" t="inlineStr">
        <is>
          <t>軽</t>
        </is>
      </c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54"/>
</worksheet>
</file>

<file path=xl/worksheets/sheet59.xml><?xml version="1.0" encoding="utf-8"?>
<worksheet xmlns="http://schemas.openxmlformats.org/spreadsheetml/2006/main">
  <sheetPr codeName="Sheet23">
    <outlinePr summaryBelow="1" summaryRight="1"/>
    <pageSetUpPr/>
  </sheetPr>
  <dimension ref="A1:J40"/>
  <sheetViews>
    <sheetView zoomScaleNormal="100" workbookViewId="0">
      <selection activeCell="E12" sqref="E12"/>
    </sheetView>
  </sheetViews>
  <sheetFormatPr baseColWidth="8" defaultColWidth="8.75" defaultRowHeight="13.5"/>
  <cols>
    <col width="2.125" customWidth="1" style="1" min="1" max="1"/>
    <col width="16.625" customWidth="1" style="2" min="2" max="2"/>
    <col width="18.875" customWidth="1" style="2" min="3" max="3"/>
    <col width="19" customWidth="1" style="2" min="4" max="4"/>
    <col width="18.875" customWidth="1" style="2" min="5" max="5"/>
    <col width="15.625" customWidth="1" style="2" min="6" max="6"/>
    <col width="8.75" customWidth="1" style="2" min="7" max="7"/>
    <col width="6.75" customWidth="1" style="2" min="8" max="8"/>
    <col width="6.625" customWidth="1" style="2" min="9" max="9"/>
    <col width="20.25" customWidth="1" style="2" min="10" max="10"/>
    <col width="8.75" customWidth="1" style="2" min="11" max="16384"/>
  </cols>
  <sheetData>
    <row r="1"/>
    <row r="2" ht="15" customHeight="1" s="462" thickBot="1">
      <c r="B2" s="493" t="n">
        <v>45778</v>
      </c>
      <c r="C2" s="463" t="n"/>
      <c r="D2" s="2" t="inlineStr">
        <is>
          <t>NO.１</t>
        </is>
      </c>
    </row>
    <row r="3" ht="19.5" customHeight="1" s="462" thickBot="1">
      <c r="B3" s="3" t="inlineStr">
        <is>
          <t>荷主</t>
        </is>
      </c>
      <c r="C3" s="3" t="inlineStr">
        <is>
          <t>種類</t>
        </is>
      </c>
      <c r="D3" s="3" t="inlineStr">
        <is>
          <t xml:space="preserve">積込地　</t>
        </is>
      </c>
      <c r="E3" s="4" t="inlineStr">
        <is>
          <t>積降地</t>
        </is>
      </c>
      <c r="F3" s="5" t="inlineStr">
        <is>
          <t>ユーザー名</t>
        </is>
      </c>
      <c r="G3" s="6" t="inlineStr">
        <is>
          <t>時間</t>
        </is>
      </c>
      <c r="H3" s="6" t="inlineStr">
        <is>
          <t>号車</t>
        </is>
      </c>
      <c r="I3" s="6" t="inlineStr">
        <is>
          <t>距離</t>
        </is>
      </c>
      <c r="J3" s="6" t="inlineStr">
        <is>
          <t>特記事項</t>
        </is>
      </c>
    </row>
    <row r="4">
      <c r="A4" s="310" t="n">
        <v>1</v>
      </c>
      <c r="B4" s="497" t="n"/>
      <c r="C4" s="497" t="n"/>
      <c r="D4" s="497" t="n"/>
      <c r="E4" s="497" t="n"/>
      <c r="F4" s="497" t="n"/>
      <c r="G4" s="498" t="n"/>
      <c r="H4" s="499" t="n"/>
      <c r="I4" s="7" t="n"/>
      <c r="J4" s="7" t="n"/>
    </row>
    <row r="5">
      <c r="A5" s="500" t="n"/>
      <c r="B5" s="500" t="n"/>
      <c r="C5" s="500" t="n"/>
      <c r="D5" s="500" t="n"/>
      <c r="E5" s="500" t="n"/>
      <c r="F5" s="500" t="n"/>
      <c r="G5" s="500" t="n"/>
      <c r="H5" s="500" t="n"/>
      <c r="I5" s="9" t="n"/>
      <c r="J5" s="9" t="n"/>
    </row>
    <row r="6">
      <c r="A6" s="310" t="n">
        <v>2</v>
      </c>
      <c r="B6" s="21" t="n"/>
      <c r="C6" s="21" t="n"/>
      <c r="D6" s="426" t="n"/>
      <c r="E6" s="21" t="n"/>
      <c r="F6" s="21" t="n"/>
      <c r="G6" s="501" t="n"/>
      <c r="H6" s="438" t="n"/>
      <c r="I6" s="21" t="n"/>
      <c r="J6" s="21" t="n"/>
    </row>
    <row r="7">
      <c r="A7" s="500" t="n"/>
      <c r="B7" s="500" t="n"/>
      <c r="C7" s="500" t="n"/>
      <c r="D7" s="500" t="n"/>
      <c r="E7" s="500" t="n"/>
      <c r="F7" s="500" t="n"/>
      <c r="G7" s="500" t="n"/>
      <c r="H7" s="500" t="n"/>
      <c r="I7" s="500" t="n"/>
      <c r="J7" s="500" t="n"/>
    </row>
    <row r="8">
      <c r="A8" s="310" t="n">
        <v>3</v>
      </c>
      <c r="B8" s="21" t="n"/>
      <c r="C8" s="21" t="n"/>
      <c r="D8" s="426" t="n"/>
      <c r="E8" s="21" t="n"/>
      <c r="F8" s="21" t="n"/>
      <c r="G8" s="12" t="n"/>
      <c r="H8" s="438" t="n"/>
      <c r="I8" s="21" t="n"/>
      <c r="J8" s="21" t="n"/>
    </row>
    <row r="9">
      <c r="A9" s="500" t="n"/>
      <c r="B9" s="500" t="n"/>
      <c r="C9" s="500" t="n"/>
      <c r="D9" s="500" t="n"/>
      <c r="E9" s="500" t="n"/>
      <c r="F9" s="500" t="n"/>
      <c r="G9" s="13" t="n"/>
      <c r="H9" s="500" t="n"/>
      <c r="I9" s="500" t="n"/>
      <c r="J9" s="500" t="n"/>
    </row>
    <row r="10">
      <c r="A10" s="310" t="n">
        <v>4</v>
      </c>
      <c r="B10" s="21" t="n"/>
      <c r="C10" s="21" t="n"/>
      <c r="D10" s="426" t="n"/>
      <c r="E10" s="21" t="n"/>
      <c r="F10" s="21" t="n"/>
      <c r="G10" s="501" t="n"/>
      <c r="H10" s="438" t="n"/>
      <c r="I10" s="21" t="n"/>
      <c r="J10" s="21" t="n"/>
    </row>
    <row r="11">
      <c r="A11" s="500" t="n"/>
      <c r="B11" s="500" t="n"/>
      <c r="C11" s="500" t="n"/>
      <c r="D11" s="500" t="n"/>
      <c r="E11" s="500" t="n"/>
      <c r="F11" s="500" t="n"/>
      <c r="G11" s="500" t="n"/>
      <c r="H11" s="500" t="n"/>
      <c r="I11" s="500" t="n"/>
      <c r="J11" s="500" t="n"/>
    </row>
    <row r="12">
      <c r="A12" s="310" t="n">
        <v>5</v>
      </c>
      <c r="B12" s="21" t="n"/>
      <c r="C12" s="429" t="n"/>
      <c r="D12" s="21" t="n"/>
      <c r="E12" s="14" t="n"/>
      <c r="F12" s="21" t="n"/>
      <c r="G12" s="501" t="n"/>
      <c r="H12" s="11" t="n"/>
      <c r="I12" s="10" t="n"/>
      <c r="J12" s="10" t="n"/>
    </row>
    <row r="13">
      <c r="A13" s="500" t="n"/>
      <c r="B13" s="500" t="n"/>
      <c r="C13" s="9" t="n"/>
      <c r="D13" s="500" t="n"/>
      <c r="E13" s="426" t="n"/>
      <c r="F13" s="500" t="n"/>
      <c r="G13" s="500" t="n"/>
      <c r="H13" s="8" t="n"/>
      <c r="I13" s="9" t="n"/>
      <c r="J13" s="9" t="n"/>
    </row>
    <row r="14">
      <c r="A14" s="310" t="n">
        <v>6</v>
      </c>
      <c r="B14" s="21" t="n"/>
      <c r="C14" s="10" t="n"/>
      <c r="D14" s="426" t="n"/>
      <c r="E14" s="21" t="n"/>
      <c r="F14" s="21" t="n"/>
      <c r="G14" s="501" t="n"/>
      <c r="H14" s="438" t="n"/>
      <c r="I14" s="21" t="n"/>
      <c r="J14" s="21" t="n"/>
    </row>
    <row r="15">
      <c r="A15" s="500" t="n"/>
      <c r="B15" s="500" t="n"/>
      <c r="C15" s="9" t="n"/>
      <c r="D15" s="500" t="n"/>
      <c r="E15" s="500" t="n"/>
      <c r="F15" s="500" t="n"/>
      <c r="G15" s="500" t="n"/>
      <c r="H15" s="500" t="n"/>
      <c r="I15" s="500" t="n"/>
      <c r="J15" s="500" t="n"/>
    </row>
    <row r="16">
      <c r="A16" s="310" t="n">
        <v>7</v>
      </c>
      <c r="B16" s="21" t="n"/>
      <c r="C16" s="21" t="n"/>
      <c r="D16" s="426" t="n"/>
      <c r="E16" s="21" t="n"/>
      <c r="F16" s="21" t="n"/>
      <c r="G16" s="501" t="n"/>
      <c r="H16" s="438" t="n"/>
      <c r="I16" s="21" t="n"/>
      <c r="J16" s="21" t="n"/>
    </row>
    <row r="17">
      <c r="A17" s="500" t="n"/>
      <c r="B17" s="500" t="n"/>
      <c r="C17" s="500" t="n"/>
      <c r="D17" s="500" t="n"/>
      <c r="E17" s="500" t="n"/>
      <c r="F17" s="500" t="n"/>
      <c r="G17" s="500" t="n"/>
      <c r="H17" s="500" t="n"/>
      <c r="I17" s="500" t="n"/>
      <c r="J17" s="500" t="n"/>
    </row>
    <row r="18">
      <c r="A18" s="310" t="n">
        <v>8</v>
      </c>
      <c r="B18" s="21" t="n"/>
      <c r="C18" s="21" t="n"/>
      <c r="D18" s="426" t="n"/>
      <c r="E18" s="21" t="n"/>
      <c r="F18" s="21" t="n"/>
      <c r="G18" s="501" t="n"/>
      <c r="H18" s="438" t="n"/>
      <c r="I18" s="21" t="n"/>
      <c r="J18" s="21" t="n"/>
    </row>
    <row r="19">
      <c r="A19" s="500" t="n"/>
      <c r="B19" s="500" t="n"/>
      <c r="C19" s="500" t="n"/>
      <c r="D19" s="500" t="n"/>
      <c r="E19" s="500" t="n"/>
      <c r="F19" s="500" t="n"/>
      <c r="G19" s="500" t="n"/>
      <c r="H19" s="500" t="n"/>
      <c r="I19" s="500" t="n"/>
      <c r="J19" s="500" t="n"/>
    </row>
    <row r="20">
      <c r="A20" s="310" t="n">
        <v>9</v>
      </c>
      <c r="B20" s="21" t="n"/>
      <c r="C20" s="429" t="n"/>
      <c r="D20" s="21" t="n"/>
      <c r="E20" s="429" t="n"/>
      <c r="F20" s="21" t="n"/>
      <c r="G20" s="501" t="n"/>
      <c r="H20" s="438" t="n"/>
      <c r="I20" s="21" t="n"/>
      <c r="J20" s="21" t="n"/>
    </row>
    <row r="21">
      <c r="A21" s="500" t="n"/>
      <c r="B21" s="500" t="n"/>
      <c r="C21" s="426" t="n"/>
      <c r="D21" s="500" t="n"/>
      <c r="E21" s="426" t="n"/>
      <c r="F21" s="500" t="n"/>
      <c r="G21" s="500" t="n"/>
      <c r="H21" s="500" t="n"/>
      <c r="I21" s="500" t="n"/>
      <c r="J21" s="500" t="n"/>
    </row>
    <row r="22">
      <c r="A22" s="310" t="n">
        <v>10</v>
      </c>
      <c r="B22" s="21" t="n"/>
      <c r="C22" s="429" t="n"/>
      <c r="D22" s="21" t="n"/>
      <c r="E22" s="14" t="n"/>
      <c r="F22" s="21" t="n"/>
      <c r="G22" s="501" t="n"/>
      <c r="H22" s="438" t="n"/>
      <c r="I22" s="21" t="n"/>
      <c r="J22" s="21" t="n"/>
    </row>
    <row r="23">
      <c r="A23" s="500" t="n"/>
      <c r="B23" s="500" t="n"/>
      <c r="C23" s="9" t="n"/>
      <c r="D23" s="500" t="n"/>
      <c r="E23" s="426" t="n"/>
      <c r="F23" s="500" t="n"/>
      <c r="G23" s="500" t="n"/>
      <c r="H23" s="500" t="n"/>
      <c r="I23" s="500" t="n"/>
      <c r="J23" s="500" t="n"/>
    </row>
    <row r="24">
      <c r="A24" s="310" t="n">
        <v>11</v>
      </c>
      <c r="B24" s="21" t="n"/>
      <c r="C24" s="21" t="n"/>
      <c r="D24" s="21" t="n"/>
      <c r="E24" s="21" t="n"/>
      <c r="F24" s="21" t="n"/>
      <c r="G24" s="501" t="n"/>
      <c r="H24" s="438" t="n"/>
      <c r="I24" s="21" t="n"/>
      <c r="J24" s="21" t="n"/>
    </row>
    <row r="25">
      <c r="A25" s="500" t="n"/>
      <c r="B25" s="500" t="n"/>
      <c r="C25" s="500" t="n"/>
      <c r="D25" s="500" t="n"/>
      <c r="E25" s="500" t="n"/>
      <c r="F25" s="500" t="n"/>
      <c r="G25" s="500" t="n"/>
      <c r="H25" s="500" t="n"/>
      <c r="I25" s="500" t="n"/>
      <c r="J25" s="500" t="n"/>
    </row>
    <row r="26">
      <c r="A26" s="310" t="n">
        <v>12</v>
      </c>
      <c r="B26" s="21" t="n"/>
      <c r="C26" s="21" t="n"/>
      <c r="D26" s="21" t="n"/>
      <c r="E26" s="21" t="n"/>
      <c r="F26" s="21" t="n"/>
      <c r="G26" s="501" t="n"/>
      <c r="H26" s="438" t="n"/>
      <c r="I26" s="21" t="n"/>
      <c r="J26" s="21" t="n"/>
    </row>
    <row r="27">
      <c r="A27" s="500" t="n"/>
      <c r="B27" s="500" t="n"/>
      <c r="C27" s="500" t="n"/>
      <c r="D27" s="500" t="n"/>
      <c r="E27" s="500" t="n"/>
      <c r="F27" s="500" t="n"/>
      <c r="G27" s="500" t="n"/>
      <c r="H27" s="500" t="n"/>
      <c r="I27" s="500" t="n"/>
      <c r="J27" s="500" t="n"/>
    </row>
    <row r="28">
      <c r="A28" s="310" t="n">
        <v>13</v>
      </c>
      <c r="B28" s="21" t="n"/>
      <c r="C28" s="21" t="n"/>
      <c r="D28" s="21" t="n"/>
      <c r="E28" s="21" t="n"/>
      <c r="F28" s="21" t="n"/>
      <c r="G28" s="501" t="n"/>
      <c r="H28" s="438" t="n"/>
      <c r="I28" s="21" t="n"/>
      <c r="J28" s="21" t="n"/>
    </row>
    <row r="29">
      <c r="A29" s="500" t="n"/>
      <c r="B29" s="500" t="n"/>
      <c r="C29" s="500" t="n"/>
      <c r="D29" s="500" t="n"/>
      <c r="E29" s="500" t="n"/>
      <c r="F29" s="500" t="n"/>
      <c r="G29" s="500" t="n"/>
      <c r="H29" s="500" t="n"/>
      <c r="I29" s="500" t="n"/>
      <c r="J29" s="500" t="n"/>
    </row>
    <row r="30">
      <c r="A30" s="310" t="n">
        <v>14</v>
      </c>
      <c r="B30" s="21" t="n"/>
      <c r="C30" s="21" t="n"/>
      <c r="D30" s="21" t="n"/>
      <c r="E30" s="21" t="n"/>
      <c r="F30" s="21" t="n"/>
      <c r="G30" s="501" t="n"/>
      <c r="H30" s="438" t="n"/>
      <c r="I30" s="10" t="n"/>
      <c r="J30" s="10" t="n"/>
    </row>
    <row r="31">
      <c r="A31" s="500" t="n"/>
      <c r="B31" s="500" t="n"/>
      <c r="C31" s="500" t="n"/>
      <c r="D31" s="500" t="n"/>
      <c r="E31" s="500" t="n"/>
      <c r="F31" s="500" t="n"/>
      <c r="G31" s="500" t="n"/>
      <c r="H31" s="500" t="n"/>
      <c r="I31" s="9" t="n"/>
      <c r="J31" s="9" t="n"/>
    </row>
    <row r="32">
      <c r="A32" s="310" t="n">
        <v>15</v>
      </c>
      <c r="B32" s="21" t="n"/>
      <c r="C32" s="21" t="n"/>
      <c r="D32" s="21" t="n"/>
      <c r="E32" s="21" t="n"/>
      <c r="F32" s="21" t="n"/>
      <c r="G32" s="501" t="n"/>
      <c r="H32" s="438" t="n"/>
      <c r="I32" s="21" t="n"/>
      <c r="J32" s="21" t="n"/>
    </row>
    <row r="33">
      <c r="A33" s="500" t="n"/>
      <c r="B33" s="500" t="n"/>
      <c r="C33" s="500" t="n"/>
      <c r="D33" s="500" t="n"/>
      <c r="E33" s="500" t="n"/>
      <c r="F33" s="500" t="n"/>
      <c r="G33" s="500" t="n"/>
      <c r="H33" s="500" t="n"/>
      <c r="I33" s="500" t="n"/>
      <c r="J33" s="500" t="n"/>
    </row>
    <row r="34">
      <c r="A34" s="310" t="n">
        <v>16</v>
      </c>
      <c r="B34" s="21" t="n"/>
      <c r="C34" s="425" t="n"/>
      <c r="D34" s="426" t="n"/>
      <c r="E34" s="21" t="n"/>
      <c r="F34" s="21" t="n"/>
      <c r="G34" s="501" t="n"/>
      <c r="H34" s="438" t="n"/>
      <c r="I34" s="21" t="n"/>
      <c r="J34" s="21" t="n"/>
    </row>
    <row r="35">
      <c r="A35" s="500" t="n"/>
      <c r="B35" s="500" t="n"/>
      <c r="C35" s="426" t="n"/>
      <c r="D35" s="500" t="n"/>
      <c r="E35" s="500" t="n"/>
      <c r="F35" s="500" t="n"/>
      <c r="G35" s="500" t="n"/>
      <c r="H35" s="500" t="n"/>
      <c r="I35" s="500" t="n"/>
      <c r="J35" s="500" t="n"/>
    </row>
    <row r="36">
      <c r="A36" s="310" t="n">
        <v>17</v>
      </c>
      <c r="B36" s="21" t="n"/>
      <c r="C36" s="21" t="n"/>
      <c r="D36" s="426" t="n"/>
      <c r="E36" s="21" t="n"/>
      <c r="F36" s="21" t="n"/>
      <c r="G36" s="501" t="n"/>
      <c r="H36" s="438" t="n"/>
      <c r="I36" s="21" t="n"/>
      <c r="J36" s="10" t="n"/>
    </row>
    <row r="37">
      <c r="A37" s="500" t="n"/>
      <c r="B37" s="500" t="n"/>
      <c r="C37" s="500" t="n"/>
      <c r="D37" s="500" t="n"/>
      <c r="E37" s="500" t="n"/>
      <c r="F37" s="500" t="n"/>
      <c r="G37" s="500" t="n"/>
      <c r="H37" s="500" t="n"/>
      <c r="I37" s="500" t="n"/>
      <c r="J37" s="9" t="n"/>
    </row>
    <row r="38">
      <c r="A38" s="310" t="n">
        <v>18</v>
      </c>
      <c r="B38" s="10" t="n"/>
      <c r="C38" s="10" t="n"/>
      <c r="D38" s="426" t="n"/>
      <c r="E38" s="10" t="n"/>
      <c r="F38" s="10" t="n"/>
      <c r="G38" s="12" t="n"/>
      <c r="H38" s="438" t="n"/>
      <c r="I38" s="10" t="n"/>
      <c r="J38" s="10" t="n"/>
    </row>
    <row r="39">
      <c r="A39" s="500" t="n"/>
      <c r="B39" s="9" t="n"/>
      <c r="C39" s="9" t="n"/>
      <c r="D39" s="500" t="n"/>
      <c r="E39" s="9" t="n"/>
      <c r="F39" s="9" t="n"/>
      <c r="G39" s="13" t="n"/>
      <c r="H39" s="500" t="n"/>
      <c r="I39" s="9" t="n"/>
      <c r="J39" s="9" t="n"/>
    </row>
    <row r="40">
      <c r="B40" s="18" t="n"/>
      <c r="C40" s="18" t="n"/>
      <c r="D40" s="18" t="n"/>
      <c r="E40" s="18" t="n"/>
      <c r="F40" s="18" t="n"/>
      <c r="G40" s="19" t="n"/>
      <c r="H40" s="18" t="n"/>
      <c r="I40" s="18" t="n"/>
      <c r="J40" s="18" t="n"/>
    </row>
  </sheetData>
  <mergeCells count="157">
    <mergeCell ref="H26:H27"/>
    <mergeCell ref="I32:I33"/>
    <mergeCell ref="C30:C31"/>
    <mergeCell ref="E8:E9"/>
    <mergeCell ref="B12:B13"/>
    <mergeCell ref="I16:I17"/>
    <mergeCell ref="A16:A17"/>
    <mergeCell ref="C10:C11"/>
    <mergeCell ref="C16:C17"/>
    <mergeCell ref="D36:D37"/>
    <mergeCell ref="E10:E11"/>
    <mergeCell ref="I26:I27"/>
    <mergeCell ref="H34:H35"/>
    <mergeCell ref="B14:B15"/>
    <mergeCell ref="F30:F31"/>
    <mergeCell ref="G10:G11"/>
    <mergeCell ref="F18:F19"/>
    <mergeCell ref="D32:D33"/>
    <mergeCell ref="I18:I19"/>
    <mergeCell ref="F26:F27"/>
    <mergeCell ref="H36:H37"/>
    <mergeCell ref="D16:D17"/>
    <mergeCell ref="B28:B29"/>
    <mergeCell ref="B6:B7"/>
    <mergeCell ref="G18:G19"/>
    <mergeCell ref="J32:J33"/>
    <mergeCell ref="A22:A23"/>
    <mergeCell ref="D18:D19"/>
    <mergeCell ref="F28:F29"/>
    <mergeCell ref="I20:I21"/>
    <mergeCell ref="D8:D9"/>
    <mergeCell ref="H28:H29"/>
    <mergeCell ref="A20:A21"/>
    <mergeCell ref="J22:J23"/>
    <mergeCell ref="H24:H25"/>
    <mergeCell ref="G22:G23"/>
    <mergeCell ref="D10:D11"/>
    <mergeCell ref="H30:H31"/>
    <mergeCell ref="H8:H9"/>
    <mergeCell ref="J8:J9"/>
    <mergeCell ref="D38:D39"/>
    <mergeCell ref="G12:G13"/>
    <mergeCell ref="I6:I7"/>
    <mergeCell ref="D34:D35"/>
    <mergeCell ref="C6:C7"/>
    <mergeCell ref="F34:F35"/>
    <mergeCell ref="B26:B27"/>
    <mergeCell ref="F16:F17"/>
    <mergeCell ref="G36:G37"/>
    <mergeCell ref="H10:H11"/>
    <mergeCell ref="J10:J11"/>
    <mergeCell ref="E14:E15"/>
    <mergeCell ref="C4:C5"/>
    <mergeCell ref="E4:E5"/>
    <mergeCell ref="F36:F37"/>
    <mergeCell ref="J34:J35"/>
    <mergeCell ref="F20:F21"/>
    <mergeCell ref="B2:C2"/>
    <mergeCell ref="F22:F23"/>
    <mergeCell ref="A26:A27"/>
    <mergeCell ref="J20:J21"/>
    <mergeCell ref="H22:H23"/>
    <mergeCell ref="D12:D13"/>
    <mergeCell ref="A8:A9"/>
    <mergeCell ref="C8:C9"/>
    <mergeCell ref="C32:C33"/>
    <mergeCell ref="A10:A11"/>
    <mergeCell ref="I34:I35"/>
    <mergeCell ref="E26:E27"/>
    <mergeCell ref="G26:G27"/>
    <mergeCell ref="B30:B31"/>
    <mergeCell ref="H14:H15"/>
    <mergeCell ref="D30:D31"/>
    <mergeCell ref="J14:J15"/>
    <mergeCell ref="B32:B33"/>
    <mergeCell ref="F4:F5"/>
    <mergeCell ref="D26:D27"/>
    <mergeCell ref="H4:H5"/>
    <mergeCell ref="B16:B17"/>
    <mergeCell ref="C18:C19"/>
    <mergeCell ref="F10:F11"/>
    <mergeCell ref="F24:F25"/>
    <mergeCell ref="B18:B19"/>
    <mergeCell ref="H38:H39"/>
    <mergeCell ref="I36:I37"/>
    <mergeCell ref="B8:B9"/>
    <mergeCell ref="A36:A37"/>
    <mergeCell ref="A6:A7"/>
    <mergeCell ref="F8:F9"/>
    <mergeCell ref="A12:A13"/>
    <mergeCell ref="J24:J25"/>
    <mergeCell ref="E28:E29"/>
    <mergeCell ref="G28:G29"/>
    <mergeCell ref="G6:G7"/>
    <mergeCell ref="B34:B35"/>
    <mergeCell ref="G24:G25"/>
    <mergeCell ref="C36:C37"/>
    <mergeCell ref="I24:I25"/>
    <mergeCell ref="A14:A15"/>
    <mergeCell ref="D28:D29"/>
    <mergeCell ref="J26:J27"/>
    <mergeCell ref="E30:E31"/>
    <mergeCell ref="G30:G31"/>
    <mergeCell ref="E32:E33"/>
    <mergeCell ref="I8:I9"/>
    <mergeCell ref="J18:J19"/>
    <mergeCell ref="A4:A5"/>
    <mergeCell ref="H16:H17"/>
    <mergeCell ref="B36:B37"/>
    <mergeCell ref="B20:B21"/>
    <mergeCell ref="E16:E17"/>
    <mergeCell ref="D20:D21"/>
    <mergeCell ref="G16:G17"/>
    <mergeCell ref="I10:I11"/>
    <mergeCell ref="D14:D15"/>
    <mergeCell ref="H18:H19"/>
    <mergeCell ref="F14:F15"/>
    <mergeCell ref="A38:A39"/>
    <mergeCell ref="B4:B5"/>
    <mergeCell ref="B22:B23"/>
    <mergeCell ref="E18:E19"/>
    <mergeCell ref="H20:H21"/>
    <mergeCell ref="D6:D7"/>
    <mergeCell ref="F6:F7"/>
    <mergeCell ref="A24:A25"/>
    <mergeCell ref="F12:F13"/>
    <mergeCell ref="H6:H7"/>
    <mergeCell ref="J28:J29"/>
    <mergeCell ref="J6:J7"/>
    <mergeCell ref="E34:E35"/>
    <mergeCell ref="G34:G35"/>
    <mergeCell ref="C26:C27"/>
    <mergeCell ref="I22:I23"/>
    <mergeCell ref="I28:I29"/>
    <mergeCell ref="F32:F33"/>
    <mergeCell ref="D4:D5"/>
    <mergeCell ref="E6:E7"/>
    <mergeCell ref="B10:B11"/>
    <mergeCell ref="A18:A19"/>
    <mergeCell ref="G20:G21"/>
    <mergeCell ref="J16:J17"/>
    <mergeCell ref="B24:B25"/>
    <mergeCell ref="G14:G15"/>
    <mergeCell ref="D24:D25"/>
    <mergeCell ref="I14:I15"/>
    <mergeCell ref="A32:A33"/>
    <mergeCell ref="G4:G5"/>
    <mergeCell ref="H32:H33"/>
    <mergeCell ref="E36:E37"/>
    <mergeCell ref="G32:G33"/>
    <mergeCell ref="A34:A35"/>
    <mergeCell ref="A28:A29"/>
    <mergeCell ref="C28:C29"/>
    <mergeCell ref="C24:C25"/>
    <mergeCell ref="E24:E25"/>
    <mergeCell ref="A30:A31"/>
    <mergeCell ref="D22:D23"/>
  </mergeCells>
  <pageMargins left="0.7" right="0.7" top="0.75" bottom="0.75" header="0.3" footer="0.3"/>
  <pageSetup orientation="landscape" paperSize="9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M48"/>
  <sheetViews>
    <sheetView topLeftCell="A18" workbookViewId="0">
      <selection activeCell="A35" sqref="A35:F48"/>
    </sheetView>
  </sheetViews>
  <sheetFormatPr baseColWidth="8" defaultRowHeight="13.5"/>
  <cols>
    <col width="36.375" bestFit="1" customWidth="1" style="462" min="1" max="1"/>
    <col width="12.5" bestFit="1" customWidth="1" style="462" min="2" max="2"/>
    <col width="14.375" bestFit="1" customWidth="1" style="462" min="3" max="3"/>
    <col width="62.125" bestFit="1" customWidth="1" style="462" min="4" max="4"/>
    <col width="13" bestFit="1" customWidth="1" style="462" min="5" max="5"/>
    <col width="14.375" bestFit="1" customWidth="1" style="462" min="6" max="6"/>
    <col width="22.75" bestFit="1" customWidth="1" style="462" min="7" max="7"/>
    <col width="13" bestFit="1" customWidth="1" style="462" min="8" max="8"/>
    <col width="12.5" bestFit="1" customWidth="1" style="462" min="9" max="9"/>
    <col width="8.375" bestFit="1" customWidth="1" style="462" min="10" max="10"/>
  </cols>
  <sheetData>
    <row r="1" ht="36" customHeight="1" s="462">
      <c r="A1" s="435" t="inlineStr">
        <is>
          <t>5/3〜5/6 案件内容と対応ドライバー一覧表</t>
        </is>
      </c>
      <c r="L1" s="144" t="inlineStr">
        <is>
          <t>号車氏名対応表</t>
        </is>
      </c>
    </row>
    <row r="2">
      <c r="L2" s="144" t="inlineStr">
        <is>
          <t>号車</t>
        </is>
      </c>
      <c r="M2" s="144" t="inlineStr">
        <is>
          <t>氏名</t>
        </is>
      </c>
    </row>
    <row r="3" ht="15" customHeight="1" s="462">
      <c r="A3" s="135" t="inlineStr">
        <is>
          <t>■ 案件一覧</t>
        </is>
      </c>
      <c r="B3" s="136" t="n"/>
      <c r="C3" s="136" t="n"/>
      <c r="D3" s="136" t="n"/>
      <c r="E3" s="136" t="n"/>
      <c r="F3" s="136" t="n"/>
      <c r="G3" s="136" t="n"/>
      <c r="H3" s="136" t="n"/>
      <c r="I3" s="136" t="n"/>
      <c r="J3" s="136" t="n"/>
      <c r="L3" s="313" t="n">
        <v>303</v>
      </c>
      <c r="M3" s="313" t="inlineStr">
        <is>
          <t>金</t>
        </is>
      </c>
    </row>
    <row r="4" ht="26.1" customHeight="1" s="462">
      <c r="A4" s="149" t="inlineStr">
        <is>
          <t>日付</t>
        </is>
      </c>
      <c r="B4" s="159" t="inlineStr">
        <is>
          <t>No.</t>
        </is>
      </c>
      <c r="C4" s="159" t="inlineStr">
        <is>
          <t>荷主</t>
        </is>
      </c>
      <c r="D4" s="159" t="inlineStr">
        <is>
          <t>種類</t>
        </is>
      </c>
      <c r="E4" s="159" t="n"/>
      <c r="F4" s="159" t="inlineStr">
        <is>
          <t>積込地</t>
        </is>
      </c>
      <c r="G4" s="159" t="inlineStr">
        <is>
          <t>積降地</t>
        </is>
      </c>
      <c r="H4" s="159" t="inlineStr">
        <is>
          <t>ユーザー名</t>
        </is>
      </c>
      <c r="I4" s="159" t="inlineStr">
        <is>
          <t>時間</t>
        </is>
      </c>
      <c r="J4" s="142" t="inlineStr">
        <is>
          <t>号車</t>
        </is>
      </c>
      <c r="L4" s="313" t="n">
        <v>101</v>
      </c>
      <c r="M4" s="144" t="inlineStr">
        <is>
          <t>藤</t>
        </is>
      </c>
    </row>
    <row r="5">
      <c r="A5" s="151" t="n">
        <v>46145</v>
      </c>
      <c r="B5" s="147" t="n">
        <v>3</v>
      </c>
      <c r="C5" s="147" t="inlineStr">
        <is>
          <t>N神戸</t>
        </is>
      </c>
      <c r="D5" s="147" t="inlineStr">
        <is>
          <t>25KVA発電機×2</t>
        </is>
      </c>
      <c r="E5" s="147" t="n"/>
      <c r="F5" s="147" t="inlineStr">
        <is>
          <t>神戸（営）</t>
        </is>
      </c>
      <c r="G5" s="147" t="inlineStr">
        <is>
          <t>植田製油</t>
        </is>
      </c>
      <c r="H5" s="147" t="inlineStr">
        <is>
          <t>本原電気工業</t>
        </is>
      </c>
      <c r="I5" s="182" t="inlineStr">
        <is>
          <t>9時</t>
        </is>
      </c>
      <c r="J5" s="139" t="inlineStr">
        <is>
          <t>303（金）</t>
        </is>
      </c>
      <c r="L5" s="313" t="n">
        <v>202</v>
      </c>
      <c r="M5" s="313" t="inlineStr">
        <is>
          <t>山原</t>
        </is>
      </c>
    </row>
    <row r="6" ht="27" customHeight="1" s="462">
      <c r="A6" s="151" t="n">
        <v>46145</v>
      </c>
      <c r="B6" s="147" t="n">
        <v>4</v>
      </c>
      <c r="C6" s="147" t="inlineStr">
        <is>
          <t>N神戸</t>
        </is>
      </c>
      <c r="D6" s="147" t="inlineStr">
        <is>
          <t>掃除機・ホース・ローリングタワー等</t>
        </is>
      </c>
      <c r="E6" s="147" t="n"/>
      <c r="F6" s="147" t="inlineStr">
        <is>
          <t>グローリープロダクツ福崎工場</t>
        </is>
      </c>
      <c r="G6" s="147" t="inlineStr">
        <is>
          <t>神戸営/ｱｸﾄﾜﾝﾔﾏｲﾁ神戸</t>
        </is>
      </c>
      <c r="H6" s="147" t="inlineStr">
        <is>
          <t>ダイフク</t>
        </is>
      </c>
      <c r="I6" s="182" t="inlineStr">
        <is>
          <t>16時</t>
        </is>
      </c>
      <c r="J6" s="140" t="inlineStr">
        <is>
          <t>303×2</t>
        </is>
      </c>
      <c r="L6" s="313" t="n">
        <v>505</v>
      </c>
      <c r="M6" s="313" t="inlineStr">
        <is>
          <t>辻</t>
        </is>
      </c>
    </row>
    <row r="7" ht="27" customHeight="1" s="462">
      <c r="A7" s="150" t="n">
        <v>46145</v>
      </c>
      <c r="B7" s="146" t="n">
        <v>5</v>
      </c>
      <c r="C7" s="146" t="inlineStr">
        <is>
          <t>N尼崎</t>
        </is>
      </c>
      <c r="D7" s="146" t="inlineStr">
        <is>
          <t>6mリフト</t>
        </is>
      </c>
      <c r="E7" s="146" t="n"/>
      <c r="F7" s="146" t="inlineStr">
        <is>
          <t>高所大阪C～渡辺K西神戸</t>
        </is>
      </c>
      <c r="G7" s="146" t="inlineStr">
        <is>
          <t>クボタ枚方製造所</t>
        </is>
      </c>
      <c r="H7" s="146" t="inlineStr">
        <is>
          <t>初田防災設備</t>
        </is>
      </c>
      <c r="I7" s="183" t="inlineStr">
        <is>
          <t>8:30頃</t>
        </is>
      </c>
      <c r="J7" s="139" t="inlineStr">
        <is>
          <t>777（郡）</t>
        </is>
      </c>
      <c r="L7" s="313" t="n">
        <v>333</v>
      </c>
      <c r="M7" s="313" t="inlineStr">
        <is>
          <t>多</t>
        </is>
      </c>
    </row>
    <row r="8" ht="15" customHeight="1" s="462">
      <c r="A8" s="152" t="n"/>
      <c r="B8" s="160" t="n"/>
      <c r="C8" s="160" t="n"/>
      <c r="D8" s="160" t="n"/>
      <c r="E8" s="160" t="n"/>
      <c r="F8" s="160" t="n"/>
      <c r="G8" s="160" t="n"/>
      <c r="H8" s="160" t="n"/>
      <c r="I8" s="160" t="n"/>
      <c r="J8" s="139" t="n"/>
      <c r="L8" s="313" t="n">
        <v>666</v>
      </c>
      <c r="M8" s="313" t="inlineStr">
        <is>
          <t>森</t>
        </is>
      </c>
    </row>
    <row r="9" ht="27" customHeight="1" s="462">
      <c r="A9" s="162" t="n">
        <v>46146</v>
      </c>
      <c r="B9" s="148" t="n">
        <v>3</v>
      </c>
      <c r="C9" s="148" t="inlineStr">
        <is>
          <t>N摩耶</t>
        </is>
      </c>
      <c r="D9" s="148" t="inlineStr">
        <is>
          <t>ミニムーンテラスター×5</t>
        </is>
      </c>
      <c r="E9" s="148" t="n"/>
      <c r="F9" s="148" t="inlineStr">
        <is>
          <t>伊丹三菱電機(和田岬)</t>
        </is>
      </c>
      <c r="G9" s="148" t="inlineStr">
        <is>
          <t>摩耶（営）</t>
        </is>
      </c>
      <c r="H9" s="148" t="inlineStr">
        <is>
          <t>真神建設</t>
        </is>
      </c>
      <c r="I9" s="184" t="inlineStr">
        <is>
          <t>10時～11時</t>
        </is>
      </c>
      <c r="J9" s="140" t="inlineStr">
        <is>
          <t>666（森）</t>
        </is>
      </c>
      <c r="L9" s="313" t="n">
        <v>777</v>
      </c>
      <c r="M9" s="313" t="inlineStr">
        <is>
          <t>郡</t>
        </is>
      </c>
    </row>
    <row r="10" ht="27" customHeight="1" s="462">
      <c r="A10" s="153" t="n">
        <v>46146</v>
      </c>
      <c r="B10" s="161" t="n">
        <v>4</v>
      </c>
      <c r="C10" s="161" t="inlineStr">
        <is>
          <t>N営業3課</t>
        </is>
      </c>
      <c r="D10" s="161" t="inlineStr">
        <is>
          <t>勇馬18号×2・足場板×3</t>
        </is>
      </c>
      <c r="E10" s="161" t="n"/>
      <c r="F10" s="161" t="inlineStr">
        <is>
          <t>平野町センチュリービル</t>
        </is>
      </c>
      <c r="G10" s="161" t="inlineStr">
        <is>
          <t>大阪建築C</t>
        </is>
      </c>
      <c r="H10" s="161" t="inlineStr">
        <is>
          <t>フカエ</t>
        </is>
      </c>
      <c r="I10" s="185" t="inlineStr">
        <is>
          <t>15時～16時</t>
        </is>
      </c>
      <c r="J10" s="139" t="inlineStr">
        <is>
          <t>―</t>
        </is>
      </c>
      <c r="L10" s="313" t="n">
        <v>888</v>
      </c>
      <c r="M10" s="313" t="inlineStr">
        <is>
          <t>平</t>
        </is>
      </c>
    </row>
    <row r="11" ht="15" customHeight="1" s="462">
      <c r="A11" s="152" t="n"/>
      <c r="B11" s="160" t="n"/>
      <c r="C11" s="160" t="n"/>
      <c r="D11" s="160" t="n"/>
      <c r="E11" s="160" t="n"/>
      <c r="F11" s="160" t="n"/>
      <c r="G11" s="160" t="n"/>
      <c r="H11" s="160" t="n"/>
      <c r="I11" s="160" t="n"/>
      <c r="J11" s="139" t="n"/>
      <c r="L11" s="313" t="n">
        <v>7651</v>
      </c>
      <c r="M11" s="313" t="inlineStr">
        <is>
          <t>坂</t>
        </is>
      </c>
    </row>
    <row r="12">
      <c r="A12" s="202" t="n">
        <v>46147</v>
      </c>
      <c r="B12" s="200" t="n">
        <v>3</v>
      </c>
      <c r="C12" s="200" t="inlineStr">
        <is>
          <t>N尼崎</t>
        </is>
      </c>
      <c r="D12" s="200" t="inlineStr">
        <is>
          <t>6mリフト</t>
        </is>
      </c>
      <c r="E12" s="200" t="n"/>
      <c r="F12" s="200" t="inlineStr">
        <is>
          <t>クボタ枚方</t>
        </is>
      </c>
      <c r="G12" s="200" t="inlineStr">
        <is>
          <t>高所大阪C</t>
        </is>
      </c>
      <c r="H12" s="200" t="inlineStr">
        <is>
          <t>初田防災設備</t>
        </is>
      </c>
      <c r="I12" s="201" t="inlineStr">
        <is>
          <t>17時</t>
        </is>
      </c>
      <c r="J12" s="140" t="inlineStr">
        <is>
          <t>333（多）</t>
        </is>
      </c>
      <c r="L12" s="313" t="n">
        <v>7657</v>
      </c>
      <c r="M12" s="313" t="inlineStr">
        <is>
          <t>砂</t>
        </is>
      </c>
    </row>
    <row r="13" ht="15" customHeight="1" s="462">
      <c r="A13" s="152" t="n"/>
      <c r="B13" s="160" t="n"/>
      <c r="C13" s="160" t="n"/>
      <c r="D13" s="160" t="n"/>
      <c r="E13" s="160" t="n"/>
      <c r="F13" s="160" t="n"/>
      <c r="G13" s="160" t="n"/>
      <c r="H13" s="160" t="n"/>
      <c r="I13" s="160" t="n"/>
      <c r="J13" s="145" t="n"/>
      <c r="L13" s="313" t="n">
        <v>7732</v>
      </c>
      <c r="M13" s="313" t="inlineStr">
        <is>
          <t>山岸</t>
        </is>
      </c>
    </row>
    <row r="14">
      <c r="A14" s="163" t="n">
        <v>46148</v>
      </c>
      <c r="B14" s="164" t="n">
        <v>3</v>
      </c>
      <c r="C14" s="164" t="inlineStr">
        <is>
          <t>N神戸</t>
        </is>
      </c>
      <c r="D14" s="164" t="inlineStr">
        <is>
          <t>25KVA発電機×2</t>
        </is>
      </c>
      <c r="E14" s="164" t="n"/>
      <c r="F14" s="164" t="inlineStr">
        <is>
          <t>植田製油</t>
        </is>
      </c>
      <c r="G14" s="164" t="inlineStr">
        <is>
          <t>神戸（営）</t>
        </is>
      </c>
      <c r="H14" s="164" t="inlineStr">
        <is>
          <t>本原電気工業</t>
        </is>
      </c>
      <c r="I14" s="186" t="inlineStr">
        <is>
          <t>16時頃</t>
        </is>
      </c>
      <c r="J14" s="141" t="inlineStr">
        <is>
          <t>666（森）</t>
        </is>
      </c>
      <c r="L14" s="313" t="n">
        <v>10</v>
      </c>
      <c r="M14" s="313" t="inlineStr">
        <is>
          <t>峰</t>
        </is>
      </c>
    </row>
    <row r="15" ht="54" customHeight="1" s="462">
      <c r="A15" s="210" t="n">
        <v>46148</v>
      </c>
      <c r="B15" s="211" t="n">
        <v>4</v>
      </c>
      <c r="C15" s="211" t="inlineStr">
        <is>
          <t>N埼玉建築設備</t>
        </is>
      </c>
      <c r="D15" s="211" t="inlineStr">
        <is>
          <t>6ｍリフト・台車・コードリール・ヒーター・ビッグファン</t>
        </is>
      </c>
      <c r="E15" s="211" t="n"/>
      <c r="F15" s="211" t="inlineStr">
        <is>
          <t>株式会兵食
尼崎冷蔵庫</t>
        </is>
      </c>
      <c r="G15" s="211" t="inlineStr">
        <is>
          <t>高所大阪C
アール＆アール
大阪便利C
NISSHO</t>
        </is>
      </c>
      <c r="H15" s="211" t="inlineStr">
        <is>
          <t>阪和興業</t>
        </is>
      </c>
      <c r="I15" s="212" t="inlineStr">
        <is>
          <t>12時</t>
        </is>
      </c>
      <c r="J15" s="211" t="inlineStr">
        <is>
          <t>303（金）</t>
        </is>
      </c>
      <c r="L15" s="313" t="n">
        <v>12</v>
      </c>
      <c r="M15" s="313" t="inlineStr">
        <is>
          <t>前</t>
        </is>
      </c>
    </row>
    <row r="16">
      <c r="A16" s="210" t="n">
        <v>46148</v>
      </c>
      <c r="B16" s="211" t="n">
        <v>5</v>
      </c>
      <c r="C16" s="211" t="inlineStr">
        <is>
          <t>N泉大津</t>
        </is>
      </c>
      <c r="D16" s="211" t="inlineStr">
        <is>
          <t>6ｍリフト</t>
        </is>
      </c>
      <c r="E16" s="211" t="n"/>
      <c r="F16" s="211" t="inlineStr">
        <is>
          <t>西区高塚台</t>
        </is>
      </c>
      <c r="G16" s="211" t="inlineStr">
        <is>
          <t>高所大阪C</t>
        </is>
      </c>
      <c r="H16" s="211" t="n"/>
      <c r="I16" s="212" t="inlineStr">
        <is>
          <t>16時頃</t>
        </is>
      </c>
      <c r="J16" s="211" t="n">
        <v>303</v>
      </c>
      <c r="L16" s="313" t="n">
        <v>13</v>
      </c>
      <c r="M16" s="313" t="inlineStr">
        <is>
          <t>丸</t>
        </is>
      </c>
    </row>
    <row r="17">
      <c r="L17" s="313" t="n">
        <v>11</v>
      </c>
      <c r="M17" s="313" t="inlineStr">
        <is>
          <t>郡司</t>
        </is>
      </c>
    </row>
    <row r="18" ht="15" customHeight="1" s="462">
      <c r="A18" s="135" t="inlineStr">
        <is>
          <t>■ 対応ドライバー一覧</t>
        </is>
      </c>
      <c r="B18" s="136" t="n"/>
      <c r="C18" s="136" t="n"/>
      <c r="D18" s="136" t="n"/>
      <c r="E18" s="136" t="n"/>
      <c r="F18" s="136" t="n"/>
      <c r="G18" s="175" t="inlineStr">
        <is>
          <t>【凡例】</t>
        </is>
      </c>
      <c r="H18" s="136" t="n"/>
      <c r="I18" s="136" t="n"/>
      <c r="J18" s="136" t="n"/>
    </row>
    <row r="19" ht="26.1" customHeight="1" s="462">
      <c r="A19" s="149" t="inlineStr">
        <is>
          <t>号車</t>
        </is>
      </c>
      <c r="B19" s="159" t="inlineStr">
        <is>
          <t>ドライバー名</t>
        </is>
      </c>
      <c r="C19" s="159" t="inlineStr">
        <is>
          <t>区分</t>
        </is>
      </c>
      <c r="D19" s="172" t="inlineStr">
        <is>
          <t>備考</t>
        </is>
      </c>
      <c r="E19" s="144" t="n"/>
      <c r="G19" s="176" t="n">
        <v>46145</v>
      </c>
      <c r="H19" s="177" t="inlineStr">
        <is>
          <t>ライトブルー</t>
        </is>
      </c>
    </row>
    <row r="20">
      <c r="A20" s="169" t="inlineStr">
        <is>
          <t>2 (255)</t>
        </is>
      </c>
      <c r="B20" s="173" t="inlineStr">
        <is>
          <t>山岸</t>
        </is>
      </c>
      <c r="C20" s="173" t="inlineStr">
        <is>
          <t>大型</t>
        </is>
      </c>
      <c r="D20" s="173" t="n"/>
      <c r="G20" s="178" t="n">
        <v>46146</v>
      </c>
      <c r="H20" s="179" t="inlineStr">
        <is>
          <t>ライトグリーン</t>
        </is>
      </c>
    </row>
    <row r="21">
      <c r="A21" s="169" t="inlineStr">
        <is>
          <t>8 (254)</t>
        </is>
      </c>
      <c r="B21" s="173" t="inlineStr">
        <is>
          <t>砂川</t>
        </is>
      </c>
      <c r="C21" s="173" t="inlineStr">
        <is>
          <t>大型</t>
        </is>
      </c>
      <c r="D21" s="173" t="n"/>
      <c r="E21" s="143" t="n"/>
      <c r="G21" s="205" t="n">
        <v>46147</v>
      </c>
      <c r="H21" s="206" t="inlineStr">
        <is>
          <t>（色なし）</t>
        </is>
      </c>
    </row>
    <row r="22">
      <c r="A22" s="169" t="inlineStr">
        <is>
          <t>9 (256)</t>
        </is>
      </c>
      <c r="B22" s="173" t="inlineStr">
        <is>
          <t>前川</t>
        </is>
      </c>
      <c r="C22" s="173" t="inlineStr">
        <is>
          <t>大型</t>
        </is>
      </c>
      <c r="D22" s="173" t="n"/>
      <c r="G22" s="180" t="n">
        <v>46148</v>
      </c>
      <c r="H22" s="181" t="inlineStr">
        <is>
          <t>ライトパープル</t>
        </is>
      </c>
    </row>
    <row r="23">
      <c r="A23" s="169" t="inlineStr">
        <is>
          <t>10 (257)</t>
        </is>
      </c>
      <c r="B23" s="173" t="inlineStr">
        <is>
          <t>―</t>
        </is>
      </c>
      <c r="C23" s="173" t="inlineStr">
        <is>
          <t>大型</t>
        </is>
      </c>
      <c r="D23" s="173" t="n"/>
      <c r="E23" s="143" t="n"/>
    </row>
    <row r="24">
      <c r="A24" s="169" t="inlineStr">
        <is>
          <t>11 (258)</t>
        </is>
      </c>
      <c r="B24" s="173" t="inlineStr">
        <is>
          <t>郡司</t>
        </is>
      </c>
      <c r="C24" s="173" t="inlineStr">
        <is>
          <t>大型</t>
        </is>
      </c>
      <c r="D24" s="173" t="n"/>
    </row>
    <row r="25">
      <c r="A25" s="169" t="inlineStr">
        <is>
          <t>12 (736)</t>
        </is>
      </c>
      <c r="B25" s="173" t="inlineStr">
        <is>
          <t>―</t>
        </is>
      </c>
      <c r="C25" s="173" t="inlineStr">
        <is>
          <t>大型</t>
        </is>
      </c>
      <c r="D25" s="173" t="n"/>
      <c r="E25" s="143" t="n"/>
    </row>
    <row r="26">
      <c r="A26" s="169" t="inlineStr">
        <is>
          <t>13 (737)</t>
        </is>
      </c>
      <c r="B26" s="173" t="inlineStr">
        <is>
          <t>―</t>
        </is>
      </c>
      <c r="C26" s="173" t="inlineStr">
        <is>
          <t>大型</t>
        </is>
      </c>
      <c r="D26" s="173" t="n"/>
    </row>
    <row r="27">
      <c r="A27" s="169" t="inlineStr">
        <is>
          <t>14 (738)</t>
        </is>
      </c>
      <c r="B27" s="173" t="inlineStr">
        <is>
          <t>辻井</t>
        </is>
      </c>
      <c r="C27" s="173" t="inlineStr">
        <is>
          <t>大型</t>
        </is>
      </c>
      <c r="D27" s="173" t="n"/>
      <c r="E27" s="143" t="n"/>
    </row>
    <row r="28">
      <c r="A28" s="171" t="n">
        <v>7290</v>
      </c>
      <c r="B28" s="174" t="inlineStr">
        <is>
          <t>佐藤</t>
        </is>
      </c>
      <c r="C28" s="174" t="inlineStr">
        <is>
          <t>協力</t>
        </is>
      </c>
      <c r="D28" s="174" t="n"/>
    </row>
    <row r="29">
      <c r="A29" s="171" t="n">
        <v>7291</v>
      </c>
      <c r="B29" s="174" t="inlineStr">
        <is>
          <t>末次</t>
        </is>
      </c>
      <c r="C29" s="174" t="inlineStr">
        <is>
          <t>協力</t>
        </is>
      </c>
      <c r="D29" s="174" t="n"/>
      <c r="E29" s="143" t="n"/>
    </row>
    <row r="30">
      <c r="A30" s="171" t="n">
        <v>333</v>
      </c>
      <c r="B30" s="174" t="inlineStr">
        <is>
          <t>金井/奥田</t>
        </is>
      </c>
      <c r="C30" s="174" t="inlineStr">
        <is>
          <t>協力</t>
        </is>
      </c>
      <c r="D30" s="174" t="n"/>
    </row>
    <row r="31">
      <c r="A31" s="171" t="n">
        <v>666</v>
      </c>
      <c r="B31" s="174" t="inlineStr">
        <is>
          <t>徳留</t>
        </is>
      </c>
      <c r="C31" s="174" t="inlineStr">
        <is>
          <t>協力</t>
        </is>
      </c>
      <c r="D31" s="174" t="n"/>
      <c r="E31" s="143" t="n"/>
    </row>
    <row r="32">
      <c r="A32" s="171" t="n">
        <v>777</v>
      </c>
      <c r="B32" s="174" t="inlineStr">
        <is>
          <t>―</t>
        </is>
      </c>
      <c r="C32" s="174" t="inlineStr">
        <is>
          <t>協力</t>
        </is>
      </c>
      <c r="D32" s="174" t="n"/>
    </row>
    <row r="33">
      <c r="A33" s="170" t="n">
        <v>330</v>
      </c>
      <c r="B33" s="168" t="inlineStr">
        <is>
          <t>―</t>
        </is>
      </c>
      <c r="C33" s="168" t="inlineStr">
        <is>
          <t>協力</t>
        </is>
      </c>
      <c r="D33" s="168" t="n"/>
      <c r="E33" s="143" t="n"/>
    </row>
    <row r="34"/>
    <row r="35" ht="15.75" customHeight="1" s="462" thickBot="1">
      <c r="A35" s="135" t="inlineStr">
        <is>
          <t>■ 日別 案件×ドライバー 対応表</t>
        </is>
      </c>
      <c r="B35" s="136" t="n"/>
      <c r="C35" s="136" t="n"/>
      <c r="D35" s="136" t="n"/>
      <c r="E35" s="136" t="n"/>
      <c r="F35" s="136" t="n"/>
      <c r="G35" s="136" t="n"/>
      <c r="H35" s="136" t="n"/>
      <c r="I35" s="136" t="n"/>
      <c r="J35" s="136" t="n"/>
    </row>
    <row r="36" ht="41.25" customHeight="1" s="462">
      <c r="A36" s="213" t="inlineStr">
        <is>
          <t>日付</t>
        </is>
      </c>
      <c r="B36" s="214" t="inlineStr">
        <is>
          <t>号車</t>
        </is>
      </c>
      <c r="C36" s="214" t="inlineStr">
        <is>
          <t>ドライバー</t>
        </is>
      </c>
      <c r="D36" s="214" t="inlineStr">
        <is>
          <t>案件概要</t>
        </is>
      </c>
      <c r="E36" s="215" t="inlineStr">
        <is>
          <t>搬入/引上げ</t>
        </is>
      </c>
      <c r="F36" s="216" t="inlineStr">
        <is>
          <t>時間</t>
        </is>
      </c>
    </row>
    <row r="37" ht="65.25" customHeight="1" s="462">
      <c r="A37" s="217" t="n">
        <v>46145</v>
      </c>
      <c r="B37" s="156" t="n">
        <v>303</v>
      </c>
      <c r="C37" s="156" t="inlineStr">
        <is>
          <t>金井</t>
        </is>
      </c>
      <c r="D37" s="156" t="inlineStr">
        <is>
          <t>N神戸→発電機25KVA×2（神戸営→植田製油）</t>
        </is>
      </c>
      <c r="E37" s="157" t="inlineStr">
        <is>
          <t>搬入</t>
        </is>
      </c>
      <c r="F37" s="218" t="inlineStr">
        <is>
          <t>9時</t>
        </is>
      </c>
    </row>
    <row r="38" ht="65.25" customHeight="1" s="462">
      <c r="A38" s="219" t="n">
        <v>46145</v>
      </c>
      <c r="B38" s="165" t="n">
        <v>303</v>
      </c>
      <c r="C38" s="165" t="inlineStr">
        <is>
          <t>金井</t>
        </is>
      </c>
      <c r="D38" s="165" t="inlineStr">
        <is>
          <t>N神戸→掃除機・ホース等（グローリー福崎→神戸営）</t>
        </is>
      </c>
      <c r="E38" s="157" t="inlineStr">
        <is>
          <t>引上げ</t>
        </is>
      </c>
      <c r="F38" s="218" t="inlineStr">
        <is>
          <t>16時</t>
        </is>
      </c>
    </row>
    <row r="39" ht="65.25" customHeight="1" s="462">
      <c r="A39" s="220" t="n">
        <v>46145</v>
      </c>
      <c r="B39" s="154" t="n">
        <v>777</v>
      </c>
      <c r="C39" s="154" t="inlineStr">
        <is>
          <t>郡司</t>
        </is>
      </c>
      <c r="D39" s="154" t="inlineStr">
        <is>
          <t>N尼崎→6mリフト（高所大阪C→クボタ枚方）</t>
        </is>
      </c>
      <c r="E39" s="155" t="inlineStr">
        <is>
          <t>搬入</t>
        </is>
      </c>
      <c r="F39" s="221" t="inlineStr">
        <is>
          <t>8:30頃</t>
        </is>
      </c>
    </row>
    <row r="40" ht="15" customHeight="1" s="462">
      <c r="A40" s="222" t="n"/>
      <c r="B40" s="223" t="n"/>
      <c r="C40" s="223" t="n"/>
      <c r="D40" s="223" t="n"/>
      <c r="E40" s="224" t="n"/>
      <c r="F40" s="225" t="n"/>
    </row>
    <row r="41" ht="65.25" customHeight="1" s="462">
      <c r="A41" s="226" t="n">
        <v>46146</v>
      </c>
      <c r="B41" s="166" t="n">
        <v>666</v>
      </c>
      <c r="C41" s="166" t="inlineStr">
        <is>
          <t>森本</t>
        </is>
      </c>
      <c r="D41" s="166" t="inlineStr">
        <is>
          <t>N摩耶→ミニムーンテラスター×5（三菱電機→摩耶営）</t>
        </is>
      </c>
      <c r="E41" s="158" t="inlineStr">
        <is>
          <t>引上げ</t>
        </is>
      </c>
      <c r="F41" s="227" t="inlineStr">
        <is>
          <t>10時～11時</t>
        </is>
      </c>
    </row>
    <row r="42" ht="65.25" customHeight="1" s="462">
      <c r="A42" s="228" t="n">
        <v>46146</v>
      </c>
      <c r="B42" s="167" t="n">
        <v>666</v>
      </c>
      <c r="C42" s="167" t="inlineStr">
        <is>
          <t>森本</t>
        </is>
      </c>
      <c r="D42" s="167" t="inlineStr">
        <is>
          <t>N営業3課→勇馬18号×2等（平野町→大阪建築C）</t>
        </is>
      </c>
      <c r="E42" s="187" t="inlineStr">
        <is>
          <t>引上げ</t>
        </is>
      </c>
      <c r="F42" s="229" t="inlineStr">
        <is>
          <t>15時～16時</t>
        </is>
      </c>
    </row>
    <row r="43" ht="15" customHeight="1" s="462">
      <c r="A43" s="241" t="n"/>
      <c r="B43" s="223" t="n"/>
      <c r="C43" s="223" t="n"/>
      <c r="D43" s="223" t="n"/>
      <c r="E43" s="224" t="n"/>
      <c r="F43" s="225" t="n"/>
    </row>
    <row r="44" ht="65.25" customHeight="1" s="462">
      <c r="A44" s="230" t="n">
        <v>46147</v>
      </c>
      <c r="B44" s="203" t="n">
        <v>333</v>
      </c>
      <c r="C44" s="203" t="inlineStr">
        <is>
          <t>多苗</t>
        </is>
      </c>
      <c r="D44" s="203" t="inlineStr">
        <is>
          <t>N尼崎→6mリフト（クボタ枚方→高所大阪C）</t>
        </is>
      </c>
      <c r="E44" s="204" t="inlineStr">
        <is>
          <t>引上げ</t>
        </is>
      </c>
      <c r="F44" s="231" t="inlineStr">
        <is>
          <t>17時</t>
        </is>
      </c>
    </row>
    <row r="45" ht="15" customHeight="1" s="462">
      <c r="A45" s="232" t="n"/>
      <c r="B45" s="224" t="n"/>
      <c r="C45" s="224" t="n"/>
      <c r="D45" s="224" t="n"/>
      <c r="E45" s="224" t="n"/>
      <c r="F45" s="225" t="n"/>
    </row>
    <row r="46" ht="65.25" customHeight="1" s="462">
      <c r="A46" s="242" t="n">
        <v>46148</v>
      </c>
      <c r="B46" s="235" t="n">
        <v>666</v>
      </c>
      <c r="C46" s="235" t="inlineStr">
        <is>
          <t>森本</t>
        </is>
      </c>
      <c r="D46" s="235" t="inlineStr">
        <is>
          <t>N神戸→発電機25KVA×2（植田製油→神戸営）</t>
        </is>
      </c>
      <c r="E46" s="235" t="inlineStr">
        <is>
          <t>引上げ</t>
        </is>
      </c>
      <c r="F46" s="236" t="inlineStr">
        <is>
          <t>16時頃</t>
        </is>
      </c>
    </row>
    <row r="47" ht="64.5" customHeight="1" s="462">
      <c r="A47" s="243" t="n">
        <v>46148</v>
      </c>
      <c r="B47" s="233" t="n">
        <v>303</v>
      </c>
      <c r="C47" s="233" t="inlineStr">
        <is>
          <t>金井</t>
        </is>
      </c>
      <c r="D47" s="234" t="inlineStr">
        <is>
          <t>N埼玉建築設備→6ｍリフト・台車等（兵食尼崎冷蔵庫→高所大阪C他）</t>
        </is>
      </c>
      <c r="E47" s="233" t="inlineStr">
        <is>
          <t>搬入</t>
        </is>
      </c>
      <c r="F47" s="237" t="inlineStr">
        <is>
          <t>12時</t>
        </is>
      </c>
    </row>
    <row r="48" ht="64.5" customHeight="1" s="462" thickBot="1">
      <c r="A48" s="244" t="n">
        <v>46148</v>
      </c>
      <c r="B48" s="238" t="n">
        <v>303</v>
      </c>
      <c r="C48" s="238" t="inlineStr">
        <is>
          <t>金井</t>
        </is>
      </c>
      <c r="D48" s="239" t="inlineStr">
        <is>
          <t>N泉大津→6ｍリフト（西区高塚台→高所大阪C）</t>
        </is>
      </c>
      <c r="E48" s="238" t="inlineStr">
        <is>
          <t>搬入</t>
        </is>
      </c>
      <c r="F48" s="240" t="inlineStr">
        <is>
          <t>16時頃</t>
        </is>
      </c>
    </row>
  </sheetData>
  <mergeCells count="1">
    <mergeCell ref="A1:J1"/>
  </mergeCells>
  <pageMargins left="0.7" right="0.7" top="0.75" bottom="0.75" header="0.3" footer="0.3"/>
  <pageSetup orientation="landscape" paperSize="9" scale="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watanabe02</dc:creator>
  <dcterms:created xsi:type="dcterms:W3CDTF">2020-05-22T01:30:28Z</dcterms:created>
  <dcterms:modified xsi:type="dcterms:W3CDTF">2026-05-14T11:52:03Z</dcterms:modified>
  <cp:lastModifiedBy>WatanabeKande2021</cp:lastModifiedBy>
  <cp:lastPrinted>2026-05-12T00:51:33Z</cp:lastPrinted>
</cp:coreProperties>
</file>